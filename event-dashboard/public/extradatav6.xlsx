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<sst xmlns="http://schemas.openxmlformats.org/spreadsheetml/2006/main" count="744" uniqueCount="337">
  <si>
    <t>S. No.</t>
  </si>
  <si>
    <t>SPOC</t>
  </si>
  <si>
    <t>Sector</t>
  </si>
  <si>
    <t>Cluster</t>
  </si>
  <si>
    <t>Organisation Name</t>
  </si>
  <si>
    <t>Name of Participant</t>
  </si>
  <si>
    <t>Designation</t>
  </si>
  <si>
    <t>Mobile Number</t>
  </si>
  <si>
    <t>Gender</t>
  </si>
  <si>
    <t>Age</t>
  </si>
  <si>
    <t>Email ID</t>
  </si>
  <si>
    <t>Mode of Travel to Delhi</t>
  </si>
  <si>
    <t>Arrival Flight/Train No.</t>
  </si>
  <si>
    <t>Travel Date to Delhi</t>
  </si>
  <si>
    <t>Departure From</t>
  </si>
  <si>
    <t>Departure Time</t>
  </si>
  <si>
    <t>Arrival Destination</t>
  </si>
  <si>
    <t>Arrival Time in Delhi</t>
  </si>
  <si>
    <t>Arrival Terminal</t>
  </si>
  <si>
    <t>Accomodation</t>
  </si>
  <si>
    <t>Check In</t>
  </si>
  <si>
    <t>Check out</t>
  </si>
  <si>
    <t>Pickup Required in Delhi (Yes/No)</t>
  </si>
  <si>
    <t>Mode of Travel From Delhi</t>
  </si>
  <si>
    <t>Flight/Train No.</t>
  </si>
  <si>
    <t>Departure Date from Delhi</t>
  </si>
  <si>
    <t>Departure Time from Delhi</t>
  </si>
  <si>
    <t>Departure Terminal</t>
  </si>
  <si>
    <t>Drop Required from Delhi (Yes/No)</t>
  </si>
  <si>
    <t>Room No</t>
  </si>
  <si>
    <t>Venkat Sir</t>
  </si>
  <si>
    <t>Footwear</t>
  </si>
  <si>
    <t>Ranipet</t>
  </si>
  <si>
    <t>KH EXPORTS</t>
  </si>
  <si>
    <t>Ilyas</t>
  </si>
  <si>
    <t>Deputy Vice president</t>
  </si>
  <si>
    <t>Male</t>
  </si>
  <si>
    <t>ilyas.khshoes@khindia.com</t>
  </si>
  <si>
    <t>Flight</t>
  </si>
  <si>
    <t>AI 2526</t>
  </si>
  <si>
    <t>Chennai</t>
  </si>
  <si>
    <t>Delhi</t>
  </si>
  <si>
    <t>T3</t>
  </si>
  <si>
    <t>Required</t>
  </si>
  <si>
    <t>Yes</t>
  </si>
  <si>
    <t>6E 6239</t>
  </si>
  <si>
    <t>T1</t>
  </si>
  <si>
    <t>Central Footwear Training Institute</t>
  </si>
  <si>
    <t>Murali K</t>
  </si>
  <si>
    <t>Director</t>
  </si>
  <si>
    <t>director@cftichennai.in</t>
  </si>
  <si>
    <t>Self-Drive</t>
  </si>
  <si>
    <t>Footwear Design and Development Institute</t>
  </si>
  <si>
    <t xml:space="preserve">K DINESH KUMAR </t>
  </si>
  <si>
    <t>HoD- Footwear Department. Sr Faculty Gr I</t>
  </si>
  <si>
    <t>dineshkumar@fddiindia.com</t>
  </si>
  <si>
    <t>Puducherry</t>
  </si>
  <si>
    <t>Barathy Industries</t>
  </si>
  <si>
    <t>k. Latchumanan</t>
  </si>
  <si>
    <t>Founder</t>
  </si>
  <si>
    <t>Female</t>
  </si>
  <si>
    <t>barathyindustries@gmail.com</t>
  </si>
  <si>
    <t>Kothari industrial corporation limited</t>
  </si>
  <si>
    <t>Dr N Mohan</t>
  </si>
  <si>
    <t>Director &amp; CEO</t>
  </si>
  <si>
    <t>n.mohan@kotharis.in</t>
  </si>
  <si>
    <t>AI 2468</t>
  </si>
  <si>
    <t>AI 2835</t>
  </si>
  <si>
    <t>Bahadurgarh</t>
  </si>
  <si>
    <t>CIFI</t>
  </si>
  <si>
    <t>Mr. Raj Kumar Gupta</t>
  </si>
  <si>
    <t>Past Immediate President CIFI / Managing Director Action Group</t>
  </si>
  <si>
    <t>rajkumargupta_action@yahoo.co.in</t>
  </si>
  <si>
    <t>Mr. Alok Jain</t>
  </si>
  <si>
    <t>Treasurer CIFI - Managing Partner Swastik Polymers</t>
  </si>
  <si>
    <t>alok@swastikpolymers.net</t>
  </si>
  <si>
    <t>Mr. Rajinder Jindal</t>
  </si>
  <si>
    <t>Vice President CIFI - Managing Director Asian Shoe</t>
  </si>
  <si>
    <t>asianshoes@yahoo.co.in</t>
  </si>
  <si>
    <t>Agra</t>
  </si>
  <si>
    <t>Mr. Dharmender Narula</t>
  </si>
  <si>
    <t>Chairman CIFI Uttar Pradesh Chapter - Managing Director Gurukirpa Enterprises</t>
  </si>
  <si>
    <t>narula37@gmail.com</t>
  </si>
  <si>
    <t>Jaipur</t>
  </si>
  <si>
    <t>Dr. Saurabh Bairathi</t>
  </si>
  <si>
    <t>CIFI Managing Committee Member / Managing Director Bairathi Shoes</t>
  </si>
  <si>
    <t>saurabhbairathi@gmail.com</t>
  </si>
  <si>
    <t>Gurgaon</t>
  </si>
  <si>
    <t>Mr. C. Govindaraju</t>
  </si>
  <si>
    <t>CIFI Managing Committee Member / VP Bata India Limited</t>
  </si>
  <si>
    <t>c.govindaraju@bata.com</t>
  </si>
  <si>
    <t>Mr. Vikram Yadav</t>
  </si>
  <si>
    <t>Member CIFI / Madipur Cluster - Director - VK Enterprises</t>
  </si>
  <si>
    <t>pusoles@gmail.com</t>
  </si>
  <si>
    <t>Mr. Sunil Chawla</t>
  </si>
  <si>
    <t>Member CIFI / Madipur Cluster - Director - Kamakshi Udyog</t>
  </si>
  <si>
    <t>kamakshiudyog@hotmail.com</t>
  </si>
  <si>
    <t>Rishabh Sureka</t>
  </si>
  <si>
    <t>Member CIFI - Partner -  Modas International LLP</t>
  </si>
  <si>
    <t>carishabhsureka@gmail.com</t>
  </si>
  <si>
    <t xml:space="preserve">Nakul Manchanda </t>
  </si>
  <si>
    <t>Member CIFI- CEO - S Lamos Group</t>
  </si>
  <si>
    <t>nakul@lamosgroup.com</t>
  </si>
  <si>
    <t>Mr. Pulkit Magan</t>
  </si>
  <si>
    <t>Member CIFI - Magan &amp; Associates</t>
  </si>
  <si>
    <t>pulkit.components@gmail.com</t>
  </si>
  <si>
    <t>Mr. Nand Kishore</t>
  </si>
  <si>
    <t>Manager CIFI</t>
  </si>
  <si>
    <t>cifi.delhi@gmail.com</t>
  </si>
  <si>
    <t>Ambur</t>
  </si>
  <si>
    <t>Ortholite Private Limited</t>
  </si>
  <si>
    <t>Ramesh S</t>
  </si>
  <si>
    <t>Opeartion Head</t>
  </si>
  <si>
    <t>sramesh@ortholite.in</t>
  </si>
  <si>
    <t>AI 2895</t>
  </si>
  <si>
    <t>Subhash Jagga</t>
  </si>
  <si>
    <t>Sr. Vice President CIFI / Managing Director Today Footwear</t>
  </si>
  <si>
    <t>jaggafootwearpvtltd@gmail.com</t>
  </si>
  <si>
    <t>Jalandhar</t>
  </si>
  <si>
    <t>Neeraj Arora</t>
  </si>
  <si>
    <t>Chairman CIFI Punjab Chapter - Managing Director Kanhaya Rubber Industries</t>
  </si>
  <si>
    <t>neerajarora222@gmail.com</t>
  </si>
  <si>
    <t>Opinder Singh Lovely</t>
  </si>
  <si>
    <t>President CIFI Uttar Pradesh Chapter - MD - Japjee Footwear Pvt Ltd</t>
  </si>
  <si>
    <t>md@japjeegroup.com</t>
  </si>
  <si>
    <t>Shubham Kansal</t>
  </si>
  <si>
    <t>skan28041992@gmail.com</t>
  </si>
  <si>
    <t>M/s Sandeep Rubber Industries, Agra, Uttar Pradesh (IFCOMA)</t>
  </si>
  <si>
    <t>Mr. Sanjay Gupta</t>
  </si>
  <si>
    <t>President</t>
  </si>
  <si>
    <t>sanjaygupta@sandeeprubber.in</t>
  </si>
  <si>
    <t>M/s Top Lasts, Agra, Uttar Pradesh (IFCOMA)</t>
  </si>
  <si>
    <t>Mr. Deepak Manchanda</t>
  </si>
  <si>
    <t>Vice President (Central)</t>
  </si>
  <si>
    <t>deepak@toplasts.com</t>
  </si>
  <si>
    <t>M/s Matrix Stampi Ltd., Chennai, Tamil Nadu (IFCOMA)</t>
  </si>
  <si>
    <t>Mr. Manoj Kumar Bhaiya</t>
  </si>
  <si>
    <t>Vice President (South)</t>
  </si>
  <si>
    <t>md@lineaitalia.in</t>
  </si>
  <si>
    <t>M/s Wilhelm Textiles India Pvt. Ltd., Gurgao, Haryana (IFCOMA)</t>
  </si>
  <si>
    <t>Mr. Erik Oliver Illig</t>
  </si>
  <si>
    <t>General Secretary</t>
  </si>
  <si>
    <t>illig@wilhelm-textil.de</t>
  </si>
  <si>
    <t>M/s Nandi Footwear Pvt. Ltd., Bahadurgarh, Haryana (IFCOMA)</t>
  </si>
  <si>
    <t>Mr. Kartik</t>
  </si>
  <si>
    <t>Joint Secretary</t>
  </si>
  <si>
    <t>nandifootwears@gmail.com</t>
  </si>
  <si>
    <t>Noida</t>
  </si>
  <si>
    <t>M/s AMS Narula Labels Pvt. Ltd., Noida, Uttar Pradesh (IFCOMA)</t>
  </si>
  <si>
    <t>Mr. Virender Narula</t>
  </si>
  <si>
    <t>Treasurer</t>
  </si>
  <si>
    <t>amsnarula@gmail.com</t>
  </si>
  <si>
    <t>IFCOMA (IFCOMA)</t>
  </si>
  <si>
    <t>Mr. Ajay Gaur</t>
  </si>
  <si>
    <t>Deputy Director</t>
  </si>
  <si>
    <t>ed@ifcoma.org</t>
  </si>
  <si>
    <t>M/s MV Shoecare Pvt. Ltd.  (IFCOMA)</t>
  </si>
  <si>
    <t>Mr. Ketan Vyas</t>
  </si>
  <si>
    <t>Member IFCOMA</t>
  </si>
  <si>
    <t>ketan@mvscindia.com</t>
  </si>
  <si>
    <t>M/s Versatile Bonds Pvt. Ltd.  (IFCOMA)</t>
  </si>
  <si>
    <t>Mr. Vipan Seth</t>
  </si>
  <si>
    <t>vdelhi@versatilegroup.in</t>
  </si>
  <si>
    <t>M/s Ess Aar Universal (P) Ltd.  (IFCOMA)</t>
  </si>
  <si>
    <t>Mr. Sudhir Rustagi</t>
  </si>
  <si>
    <t>info@essaarpu.com</t>
  </si>
  <si>
    <t>M/s Shoe &amp; Accessories  (IFCOMA)</t>
  </si>
  <si>
    <t>Amit Chopra</t>
  </si>
  <si>
    <t>Member</t>
  </si>
  <si>
    <t>nqc@gmail.com</t>
  </si>
  <si>
    <t>Gupta HC Overseas (I) Pvt Ltd, AGRA</t>
  </si>
  <si>
    <t>Gopal Gupta</t>
  </si>
  <si>
    <t xml:space="preserve">AFMEC- President </t>
  </si>
  <si>
    <t>gopal@guptaoverseas.com</t>
  </si>
  <si>
    <t>Council for Leather Exports (CLE)</t>
  </si>
  <si>
    <t>R. Selvam, IAS</t>
  </si>
  <si>
    <t>Executive Director</t>
  </si>
  <si>
    <t>edcle@cleindia.com</t>
  </si>
  <si>
    <t>Capital Energy Consultancy India Pvt Ltd</t>
  </si>
  <si>
    <t>Latha Shanmugam</t>
  </si>
  <si>
    <t>Technical Director</t>
  </si>
  <si>
    <t>latha@capitalenergyconsultancy.com</t>
  </si>
  <si>
    <t>BAHADURGARH FOOTWEAR DEVELOPMENT SERVICES</t>
  </si>
  <si>
    <t>Siddharth Dubey</t>
  </si>
  <si>
    <t>Office Secretary</t>
  </si>
  <si>
    <t>siddharth.bfds@gmail.com</t>
  </si>
  <si>
    <t>PANKAJ KUMAR</t>
  </si>
  <si>
    <t>DGM</t>
  </si>
  <si>
    <t>lab@bfdsindia.com</t>
  </si>
  <si>
    <t>SATHI Foundation IIT Delhi</t>
  </si>
  <si>
    <t>Sachin Kadam</t>
  </si>
  <si>
    <t>IITD-COO</t>
  </si>
  <si>
    <t>coosathi@iitd.ac.in</t>
  </si>
  <si>
    <t>R.S.V WORLDWIDE</t>
  </si>
  <si>
    <t>Sachin Kumar</t>
  </si>
  <si>
    <t>CFTI-G.M Production</t>
  </si>
  <si>
    <t>planningrsv@gmail.com</t>
  </si>
  <si>
    <t>VRD EXPORTS</t>
  </si>
  <si>
    <t>Gopal Mandal</t>
  </si>
  <si>
    <t>CFTI-Sr. Manager</t>
  </si>
  <si>
    <t>mandal@vrdexports.in</t>
  </si>
  <si>
    <t>CW Overseas</t>
  </si>
  <si>
    <t>Balram Singh</t>
  </si>
  <si>
    <t xml:space="preserve">CFTI - MD </t>
  </si>
  <si>
    <t>overseascw@gmail.com</t>
  </si>
  <si>
    <t>UMAV Industries Pvt. Ltd.</t>
  </si>
  <si>
    <t>Manish Yadav</t>
  </si>
  <si>
    <t>CFTI-CEO</t>
  </si>
  <si>
    <t>manishhotyadav1995@gmail.com</t>
  </si>
  <si>
    <t>Shoe Group</t>
  </si>
  <si>
    <t>Liladhar Dohane</t>
  </si>
  <si>
    <t>CFTI-MD</t>
  </si>
  <si>
    <t>whistlerindia9760@gmail.com</t>
  </si>
  <si>
    <t>Carson overseas</t>
  </si>
  <si>
    <t>Affan shamsi</t>
  </si>
  <si>
    <t xml:space="preserve">Partner </t>
  </si>
  <si>
    <t>affanshamsi95@gmail.com</t>
  </si>
  <si>
    <t>RSJ Inspection Service Limited</t>
  </si>
  <si>
    <t>Sarath Chandran Ramakrishnan</t>
  </si>
  <si>
    <t>TIC - Director</t>
  </si>
  <si>
    <t>sarath@rsjinspection.com</t>
  </si>
  <si>
    <t>Sonal Saggi</t>
  </si>
  <si>
    <t xml:space="preserve">Director </t>
  </si>
  <si>
    <t>sonaksaggi@rsjqa.com</t>
  </si>
  <si>
    <t>Eurofins Product Testing India Pvt Ltd</t>
  </si>
  <si>
    <t>vipul bhardwaj</t>
  </si>
  <si>
    <t>National Business line leader &amp; Managing Director</t>
  </si>
  <si>
    <t>vipul.bhardwaj@xoin.eurofinsasia.com</t>
  </si>
  <si>
    <t>MSME- Technology Development Centre</t>
  </si>
  <si>
    <t>Sachin Rajpal</t>
  </si>
  <si>
    <t>sachin.ppdcagra@gmail.com</t>
  </si>
  <si>
    <t>Calicut</t>
  </si>
  <si>
    <t>NEXO FOOTWEAR PVT LTD</t>
  </si>
  <si>
    <t>SAJIT C</t>
  </si>
  <si>
    <t>Managing Director</t>
  </si>
  <si>
    <t>sajit@nexogroup.in</t>
  </si>
  <si>
    <t>Relaxo Footwears Limited</t>
  </si>
  <si>
    <t>Ashish Nigam</t>
  </si>
  <si>
    <t>FDDI - Assistant Vice President</t>
  </si>
  <si>
    <t>ashishnigam@relaxofootwear.com</t>
  </si>
  <si>
    <t>FDDI Head Office</t>
  </si>
  <si>
    <t>Vivek Sharma</t>
  </si>
  <si>
    <t>md@fddiindia.com</t>
  </si>
  <si>
    <t>Prashant Kumar Saxena</t>
  </si>
  <si>
    <t>Head Business Development</t>
  </si>
  <si>
    <t>pks@fddiindia.com</t>
  </si>
  <si>
    <t>Rashmi Asthana</t>
  </si>
  <si>
    <t>Head International Testing Center</t>
  </si>
  <si>
    <t>hoditc@fddiindia.com</t>
  </si>
  <si>
    <t>Sharad Srivastava</t>
  </si>
  <si>
    <t>Head Center of Excellence</t>
  </si>
  <si>
    <t>sharad@fddiindia.com</t>
  </si>
  <si>
    <t>Shraddha Tripathy</t>
  </si>
  <si>
    <t>Head Placement &amp; Industry Connect</t>
  </si>
  <si>
    <t>hodplacement@fddiindia.com</t>
  </si>
  <si>
    <t>Evertrade Group, Orissa</t>
  </si>
  <si>
    <t>Niren Anand</t>
  </si>
  <si>
    <t>Founder &amp; MD , Ever Trade</t>
  </si>
  <si>
    <t>niren.anand@evertrade.me</t>
  </si>
  <si>
    <t>Alfakick Shoes, NCR</t>
  </si>
  <si>
    <t>Niraj Shah</t>
  </si>
  <si>
    <t>Co-founder , Alfakick Shoes</t>
  </si>
  <si>
    <t>nirajshah.consultant@gmail.com</t>
  </si>
  <si>
    <t>Magic Moda AI</t>
  </si>
  <si>
    <t>Vibhu Srivastava</t>
  </si>
  <si>
    <t>vibhu@magicmoda.in</t>
  </si>
  <si>
    <t>FootReplica</t>
  </si>
  <si>
    <t>Snigdha Agarwal</t>
  </si>
  <si>
    <t>snigdha1092@gmail.com</t>
  </si>
  <si>
    <t>BIS Chemical</t>
  </si>
  <si>
    <t>Pushpendra Kumar</t>
  </si>
  <si>
    <t>Scientist C</t>
  </si>
  <si>
    <t>chd@bis.gov.in</t>
  </si>
  <si>
    <t>Laghu Udyog Bharti</t>
  </si>
  <si>
    <t>Deepak M Agarwal</t>
  </si>
  <si>
    <t>National Secretary</t>
  </si>
  <si>
    <t>deepak@kissangroup.com</t>
  </si>
  <si>
    <t>Manish Kumar Agarwal</t>
  </si>
  <si>
    <t>Pradesh Sachiv</t>
  </si>
  <si>
    <t>m.mz@rediffmail.com</t>
  </si>
  <si>
    <t>BIS</t>
  </si>
  <si>
    <t>Amit Chaudhary</t>
  </si>
  <si>
    <t>amit.c@bis.gov.in</t>
  </si>
  <si>
    <t>Air India</t>
  </si>
  <si>
    <t>Harpreet A. De Singh</t>
  </si>
  <si>
    <t>harpreet.a.de.singh@gmail.com</t>
  </si>
  <si>
    <t>CSIR-Central Leather Research Institute</t>
  </si>
  <si>
    <t>Maheshkumar Jaganathan</t>
  </si>
  <si>
    <t>Scientist-C</t>
  </si>
  <si>
    <t>maheshk.clri@csir.res.in</t>
  </si>
  <si>
    <t>D Suresh Kumar</t>
  </si>
  <si>
    <t>Scientist D</t>
  </si>
  <si>
    <t>dsureshkumar.clri@csir.res.in</t>
  </si>
  <si>
    <t>SARA LEATHER INDUSTRIES</t>
  </si>
  <si>
    <t>Aslam Sheriff</t>
  </si>
  <si>
    <t>Chief General Manager</t>
  </si>
  <si>
    <t>shreiff@ahindia.com</t>
  </si>
  <si>
    <t>Walajapet</t>
  </si>
  <si>
    <t>Tata International</t>
  </si>
  <si>
    <t>Sagayaraj K</t>
  </si>
  <si>
    <t>Quality Manager</t>
  </si>
  <si>
    <t>sagaya.raj@tatainternational.com</t>
  </si>
  <si>
    <t>Sathish Kumar.T</t>
  </si>
  <si>
    <t>Manager Product Development</t>
  </si>
  <si>
    <t>sathishkumar.t@tatainternational.com</t>
  </si>
  <si>
    <t>Pooja Gupta</t>
  </si>
  <si>
    <t>Leather</t>
  </si>
  <si>
    <t>New Delhi</t>
  </si>
  <si>
    <t>Council for Leather Exports</t>
  </si>
  <si>
    <t>Atul Kumar Mishra</t>
  </si>
  <si>
    <t>Regional Director</t>
  </si>
  <si>
    <t>rd-north@cleindia.com</t>
  </si>
  <si>
    <t>Unnao</t>
  </si>
  <si>
    <t>AKI Castil Shoes LLP</t>
  </si>
  <si>
    <t>Dipti Awasthi</t>
  </si>
  <si>
    <t>Manager (Admin &amp; Planning)</t>
  </si>
  <si>
    <t>dipti.acsllp@gmail.com</t>
  </si>
  <si>
    <t>Kolkata</t>
  </si>
  <si>
    <t>Magnum International</t>
  </si>
  <si>
    <t>Jagdish Kamal Gulati</t>
  </si>
  <si>
    <t>Chairman</t>
  </si>
  <si>
    <t>jagdishgulati1958@gmail.com</t>
  </si>
  <si>
    <t>FICCI</t>
  </si>
  <si>
    <t>Mritunjay Kumar</t>
  </si>
  <si>
    <t>Director &amp; Head- Quality Forum</t>
  </si>
  <si>
    <t>mritunjay.kumar@ficci.com</t>
  </si>
  <si>
    <t>Poorna Exports</t>
  </si>
  <si>
    <t>Pooja Mistry</t>
  </si>
  <si>
    <t>CEO</t>
  </si>
  <si>
    <t>poojamistry@poornaexports.com</t>
  </si>
  <si>
    <t>Shubhanjali Umrao</t>
  </si>
  <si>
    <t>chd_d@bis.gov.in</t>
  </si>
  <si>
    <t>Gautam Budha Nagar</t>
  </si>
  <si>
    <t>Intertek India Pvt Ltd</t>
  </si>
  <si>
    <t>Sunil Shukla</t>
  </si>
  <si>
    <t>General Manager</t>
  </si>
  <si>
    <t>sunil.shukla@intertek.com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</si>
</sst>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i/>
      <sz val="11.0"/>
      <color rgb="FF000000"/>
      <name val="Calibri"/>
    </font>
    <font>
      <sz val="11.0"/>
      <color theme="1"/>
      <name val="Aptos Narrow"/>
    </font>
    <font>
      <sz val="11.0"/>
      <color rgb="FF000000"/>
      <name val="Arial"/>
    </font>
    <font>
      <sz val="11.0"/>
      <color theme="1"/>
      <name val="Arial"/>
    </font>
    <font>
      <sz val="11.0"/>
      <color rgb="FF000000"/>
      <name val="Calibri"/>
    </font>
    <font>
      <sz val="11.0"/>
      <color theme="1"/>
      <name val="Calibri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Border="1" applyFont="1"/>
    <xf borderId="1" fillId="0" fontId="3" numFmtId="0" xfId="0" applyAlignment="1" applyBorder="1" applyFont="1">
      <alignment horizontal="left" vertical="top"/>
    </xf>
    <xf borderId="1" fillId="0" fontId="4" numFmtId="0" xfId="0" applyAlignment="1" applyBorder="1" applyFont="1">
      <alignment horizontal="left" vertical="top"/>
    </xf>
    <xf borderId="1" fillId="0" fontId="5" numFmtId="14" xfId="0" applyAlignment="1" applyBorder="1" applyFont="1" applyNumberFormat="1">
      <alignment horizontal="center" shrinkToFit="0" vertical="center" wrapText="1"/>
    </xf>
    <xf borderId="1" fillId="0" fontId="2" numFmtId="20" xfId="0" applyBorder="1" applyFont="1" applyNumberFormat="1"/>
    <xf borderId="0" fillId="0" fontId="2" numFmtId="0" xfId="0" applyFont="1"/>
    <xf borderId="1" fillId="0" fontId="2" numFmtId="14" xfId="0" applyBorder="1" applyFont="1" applyNumberFormat="1"/>
    <xf borderId="1" fillId="2" fontId="4" numFmtId="0" xfId="0" applyAlignment="1" applyBorder="1" applyFill="1" applyFont="1">
      <alignment horizontal="left" vertical="top"/>
    </xf>
    <xf borderId="1" fillId="2" fontId="3" numFmtId="0" xfId="0" applyAlignment="1" applyBorder="1" applyFont="1">
      <alignment horizontal="left" vertical="top"/>
    </xf>
    <xf borderId="1" fillId="0" fontId="4" numFmtId="0" xfId="0" applyAlignment="1" applyBorder="1" applyFont="1">
      <alignment horizontal="left" readingOrder="0" vertical="top"/>
    </xf>
    <xf borderId="1" fillId="0" fontId="6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0.88"/>
    <col customWidth="1" min="3" max="3" width="11.63"/>
    <col customWidth="1" min="4" max="4" width="13.13"/>
    <col customWidth="1" min="5" max="5" width="62.63"/>
    <col customWidth="1" min="6" max="6" width="31.75"/>
    <col customWidth="1" min="7" max="7" width="77.75"/>
    <col customWidth="1" min="8" max="8" width="20.13"/>
    <col customWidth="1" min="9" max="9" width="12.63"/>
    <col customWidth="1" min="10" max="10" width="9.63"/>
    <col customWidth="1" min="11" max="12" width="37.38"/>
    <col customWidth="1" min="13" max="13" width="27.13"/>
    <col customWidth="1" min="14" max="14" width="14.0"/>
    <col customWidth="1" min="15" max="15" width="12.63"/>
    <col customWidth="1" min="16" max="17" width="14.0"/>
    <col customWidth="1" min="18" max="18" width="13.63"/>
    <col customWidth="1" min="19" max="19" width="12.63"/>
    <col customWidth="1" min="20" max="20" width="14.0"/>
    <col customWidth="1" min="21" max="21" width="13.13"/>
    <col customWidth="1" min="22" max="22" width="13.38"/>
    <col customWidth="1" min="23" max="23" width="11.25"/>
    <col customWidth="1" min="24" max="24" width="19.25"/>
    <col customWidth="1" min="25" max="25" width="15.75"/>
    <col customWidth="1" min="26" max="26" width="14.0"/>
    <col customWidth="1" min="27" max="27" width="15.0"/>
    <col customWidth="1" min="28" max="28" width="15.13"/>
    <col customWidth="1" min="29" max="29" width="14.0"/>
    <col customWidth="1" min="30" max="31" width="18.88"/>
  </cols>
  <sheetData>
    <row r="1" ht="4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tr">
        <f>VLOOKUP(K1,'[1]Flights (2)'!$I:$J,2,0)</f>
        <v>#REF!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>
      <c r="A2" s="2">
        <v>1.0</v>
      </c>
      <c r="B2" s="2" t="s">
        <v>30</v>
      </c>
      <c r="C2" s="3" t="s">
        <v>31</v>
      </c>
      <c r="D2" s="4" t="s">
        <v>32</v>
      </c>
      <c r="E2" s="4" t="s">
        <v>33</v>
      </c>
      <c r="F2" s="4" t="s">
        <v>34</v>
      </c>
      <c r="G2" s="4" t="s">
        <v>35</v>
      </c>
      <c r="H2" s="4">
        <v>9.244535936E9</v>
      </c>
      <c r="I2" s="2" t="s">
        <v>36</v>
      </c>
      <c r="J2" s="2"/>
      <c r="K2" s="4" t="s">
        <v>37</v>
      </c>
      <c r="L2" s="4" t="s">
        <v>38</v>
      </c>
      <c r="M2" s="4" t="str">
        <f>VLOOKUP(K2,'[1]Flights (2)'!$I:$S,2,0)</f>
        <v>#REF!</v>
      </c>
      <c r="N2" s="4" t="s">
        <v>39</v>
      </c>
      <c r="O2" s="5">
        <v>46075.0</v>
      </c>
      <c r="P2" s="4" t="s">
        <v>40</v>
      </c>
      <c r="Q2" s="6">
        <v>0.4125</v>
      </c>
      <c r="R2" s="4" t="s">
        <v>41</v>
      </c>
      <c r="S2" s="6">
        <v>0.5381944444444444</v>
      </c>
      <c r="T2" s="2" t="s">
        <v>42</v>
      </c>
      <c r="U2" s="2" t="s">
        <v>43</v>
      </c>
      <c r="V2" s="5">
        <v>46075.0</v>
      </c>
      <c r="W2" s="5">
        <v>46077.0</v>
      </c>
      <c r="X2" s="2" t="s">
        <v>44</v>
      </c>
      <c r="Y2" s="2" t="s">
        <v>38</v>
      </c>
      <c r="Z2" s="2" t="s">
        <v>45</v>
      </c>
      <c r="AA2" s="5">
        <v>46077.0</v>
      </c>
      <c r="AB2" s="6">
        <v>0.4583333333333333</v>
      </c>
      <c r="AC2" s="2" t="s">
        <v>46</v>
      </c>
      <c r="AD2" s="2" t="s">
        <v>44</v>
      </c>
      <c r="AE2" s="7"/>
    </row>
    <row r="3">
      <c r="A3" s="2">
        <v>2.0</v>
      </c>
      <c r="B3" s="2" t="s">
        <v>30</v>
      </c>
      <c r="C3" s="3" t="s">
        <v>31</v>
      </c>
      <c r="D3" s="4" t="s">
        <v>40</v>
      </c>
      <c r="E3" s="4" t="s">
        <v>47</v>
      </c>
      <c r="F3" s="4" t="s">
        <v>48</v>
      </c>
      <c r="G3" s="4" t="s">
        <v>49</v>
      </c>
      <c r="H3" s="4">
        <v>9.840291804E9</v>
      </c>
      <c r="I3" s="2" t="s">
        <v>36</v>
      </c>
      <c r="J3" s="2"/>
      <c r="K3" s="4" t="s">
        <v>50</v>
      </c>
      <c r="L3" s="4" t="str">
        <f>M3</f>
        <v>Self-Drive</v>
      </c>
      <c r="M3" s="4" t="s">
        <v>51</v>
      </c>
      <c r="N3" s="2"/>
      <c r="O3" s="2"/>
      <c r="P3" s="2"/>
      <c r="Q3" s="2"/>
      <c r="R3" s="2"/>
      <c r="S3" s="2"/>
      <c r="T3" s="2"/>
      <c r="U3" s="2" t="s">
        <v>43</v>
      </c>
      <c r="V3" s="5">
        <v>46075.0</v>
      </c>
      <c r="W3" s="5">
        <v>46076.0</v>
      </c>
      <c r="X3" s="2" t="s">
        <v>44</v>
      </c>
      <c r="Y3" s="2"/>
      <c r="Z3" s="2"/>
      <c r="AA3" s="2"/>
      <c r="AB3" s="2"/>
      <c r="AC3" s="2"/>
      <c r="AD3" s="2" t="s">
        <v>44</v>
      </c>
      <c r="AE3" s="7"/>
    </row>
    <row r="4">
      <c r="A4" s="2">
        <v>3.0</v>
      </c>
      <c r="B4" s="2" t="s">
        <v>30</v>
      </c>
      <c r="C4" s="3" t="s">
        <v>31</v>
      </c>
      <c r="D4" s="4" t="s">
        <v>40</v>
      </c>
      <c r="E4" s="4" t="s">
        <v>52</v>
      </c>
      <c r="F4" s="4" t="s">
        <v>53</v>
      </c>
      <c r="G4" s="4" t="s">
        <v>54</v>
      </c>
      <c r="H4" s="4">
        <v>8.015099716E9</v>
      </c>
      <c r="I4" s="2" t="s">
        <v>36</v>
      </c>
      <c r="J4" s="2">
        <v>43.0</v>
      </c>
      <c r="K4" s="4" t="s">
        <v>55</v>
      </c>
      <c r="L4" s="4" t="s">
        <v>38</v>
      </c>
      <c r="M4" s="4" t="s">
        <v>38</v>
      </c>
      <c r="N4" s="4" t="s">
        <v>39</v>
      </c>
      <c r="O4" s="5">
        <v>46075.0</v>
      </c>
      <c r="P4" s="4" t="s">
        <v>40</v>
      </c>
      <c r="Q4" s="6">
        <v>0.4125</v>
      </c>
      <c r="R4" s="4" t="s">
        <v>41</v>
      </c>
      <c r="S4" s="6">
        <v>0.5381944444444444</v>
      </c>
      <c r="T4" s="2" t="s">
        <v>42</v>
      </c>
      <c r="U4" s="2" t="s">
        <v>43</v>
      </c>
      <c r="V4" s="5">
        <v>46075.0</v>
      </c>
      <c r="W4" s="5">
        <v>46077.0</v>
      </c>
      <c r="X4" s="2" t="s">
        <v>44</v>
      </c>
      <c r="Y4" s="2" t="s">
        <v>38</v>
      </c>
      <c r="Z4" s="2" t="s">
        <v>45</v>
      </c>
      <c r="AA4" s="5">
        <v>46077.0</v>
      </c>
      <c r="AB4" s="6">
        <v>0.4583333333333333</v>
      </c>
      <c r="AC4" s="2" t="s">
        <v>46</v>
      </c>
      <c r="AD4" s="2" t="s">
        <v>44</v>
      </c>
      <c r="AE4" s="7"/>
    </row>
    <row r="5">
      <c r="A5" s="2">
        <v>4.0</v>
      </c>
      <c r="B5" s="2" t="s">
        <v>30</v>
      </c>
      <c r="C5" s="3" t="s">
        <v>31</v>
      </c>
      <c r="D5" s="4" t="s">
        <v>56</v>
      </c>
      <c r="E5" s="4" t="s">
        <v>57</v>
      </c>
      <c r="F5" s="4" t="s">
        <v>58</v>
      </c>
      <c r="G5" s="4" t="s">
        <v>59</v>
      </c>
      <c r="H5" s="4">
        <v>9.94426052E9</v>
      </c>
      <c r="I5" s="2" t="s">
        <v>60</v>
      </c>
      <c r="J5" s="2"/>
      <c r="K5" s="4" t="s">
        <v>61</v>
      </c>
      <c r="L5" s="4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7"/>
    </row>
    <row r="6">
      <c r="A6" s="2">
        <v>5.0</v>
      </c>
      <c r="B6" s="2" t="s">
        <v>30</v>
      </c>
      <c r="C6" s="3" t="s">
        <v>31</v>
      </c>
      <c r="D6" s="4" t="s">
        <v>40</v>
      </c>
      <c r="E6" s="4" t="s">
        <v>62</v>
      </c>
      <c r="F6" s="4" t="s">
        <v>63</v>
      </c>
      <c r="G6" s="4" t="s">
        <v>64</v>
      </c>
      <c r="H6" s="4">
        <v>9.004600012E9</v>
      </c>
      <c r="I6" s="2" t="s">
        <v>36</v>
      </c>
      <c r="J6" s="2">
        <v>50.0</v>
      </c>
      <c r="K6" s="4" t="s">
        <v>65</v>
      </c>
      <c r="L6" s="4" t="s">
        <v>38</v>
      </c>
      <c r="M6" s="4" t="s">
        <v>38</v>
      </c>
      <c r="N6" s="4" t="s">
        <v>66</v>
      </c>
      <c r="O6" s="5">
        <v>46075.0</v>
      </c>
      <c r="P6" s="4" t="s">
        <v>40</v>
      </c>
      <c r="Q6" s="6">
        <v>0.6041666666666666</v>
      </c>
      <c r="R6" s="4" t="s">
        <v>41</v>
      </c>
      <c r="S6" s="6">
        <v>0.71875</v>
      </c>
      <c r="T6" s="2" t="s">
        <v>42</v>
      </c>
      <c r="U6" s="2" t="s">
        <v>43</v>
      </c>
      <c r="V6" s="5">
        <v>46075.0</v>
      </c>
      <c r="W6" s="5">
        <v>46076.0</v>
      </c>
      <c r="X6" s="2" t="s">
        <v>44</v>
      </c>
      <c r="Y6" s="2" t="s">
        <v>38</v>
      </c>
      <c r="Z6" s="2" t="s">
        <v>67</v>
      </c>
      <c r="AA6" s="5">
        <v>46076.0</v>
      </c>
      <c r="AB6" s="6">
        <v>0.8125</v>
      </c>
      <c r="AC6" s="2" t="s">
        <v>42</v>
      </c>
      <c r="AD6" s="2" t="s">
        <v>44</v>
      </c>
      <c r="AE6" s="7"/>
    </row>
    <row r="7">
      <c r="A7" s="2">
        <v>6.0</v>
      </c>
      <c r="B7" s="2" t="s">
        <v>30</v>
      </c>
      <c r="C7" s="3" t="s">
        <v>31</v>
      </c>
      <c r="D7" s="4" t="s">
        <v>68</v>
      </c>
      <c r="E7" s="4" t="s">
        <v>69</v>
      </c>
      <c r="F7" s="4" t="s">
        <v>70</v>
      </c>
      <c r="G7" s="4" t="s">
        <v>71</v>
      </c>
      <c r="H7" s="4">
        <v>9.810010069E9</v>
      </c>
      <c r="I7" s="2" t="s">
        <v>36</v>
      </c>
      <c r="J7" s="2"/>
      <c r="K7" s="4" t="s">
        <v>72</v>
      </c>
      <c r="L7" s="4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7"/>
    </row>
    <row r="8">
      <c r="A8" s="2">
        <v>7.0</v>
      </c>
      <c r="B8" s="2" t="s">
        <v>30</v>
      </c>
      <c r="C8" s="3" t="s">
        <v>31</v>
      </c>
      <c r="D8" s="4" t="s">
        <v>68</v>
      </c>
      <c r="E8" s="4" t="s">
        <v>69</v>
      </c>
      <c r="F8" s="4" t="s">
        <v>73</v>
      </c>
      <c r="G8" s="4" t="s">
        <v>74</v>
      </c>
      <c r="H8" s="4">
        <v>9.811121636E9</v>
      </c>
      <c r="I8" s="2" t="s">
        <v>36</v>
      </c>
      <c r="J8" s="2"/>
      <c r="K8" s="4" t="s">
        <v>75</v>
      </c>
      <c r="L8" s="4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7"/>
    </row>
    <row r="9">
      <c r="A9" s="2">
        <v>8.0</v>
      </c>
      <c r="B9" s="2" t="s">
        <v>30</v>
      </c>
      <c r="C9" s="3" t="s">
        <v>31</v>
      </c>
      <c r="D9" s="4" t="s">
        <v>68</v>
      </c>
      <c r="E9" s="4" t="s">
        <v>69</v>
      </c>
      <c r="F9" s="4" t="s">
        <v>76</v>
      </c>
      <c r="G9" s="4" t="s">
        <v>77</v>
      </c>
      <c r="H9" s="4">
        <v>9.810079904E9</v>
      </c>
      <c r="I9" s="2" t="s">
        <v>36</v>
      </c>
      <c r="J9" s="2"/>
      <c r="K9" s="4" t="s">
        <v>78</v>
      </c>
      <c r="L9" s="4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7"/>
    </row>
    <row r="10">
      <c r="A10" s="2">
        <v>9.0</v>
      </c>
      <c r="B10" s="2" t="s">
        <v>30</v>
      </c>
      <c r="C10" s="3" t="s">
        <v>31</v>
      </c>
      <c r="D10" s="4" t="s">
        <v>79</v>
      </c>
      <c r="E10" s="4" t="s">
        <v>69</v>
      </c>
      <c r="F10" s="4" t="s">
        <v>80</v>
      </c>
      <c r="G10" s="4" t="s">
        <v>81</v>
      </c>
      <c r="H10" s="4">
        <v>9.811804623E9</v>
      </c>
      <c r="I10" s="2" t="s">
        <v>36</v>
      </c>
      <c r="J10" s="2"/>
      <c r="K10" s="4" t="s">
        <v>82</v>
      </c>
      <c r="L10" s="4"/>
      <c r="M10" s="2"/>
      <c r="N10" s="2"/>
      <c r="O10" s="8">
        <v>46075.0</v>
      </c>
      <c r="P10" s="2" t="s">
        <v>79</v>
      </c>
      <c r="Q10" s="2"/>
      <c r="R10" s="2"/>
      <c r="S10" s="2"/>
      <c r="T10" s="2"/>
      <c r="U10" s="2" t="s">
        <v>43</v>
      </c>
      <c r="V10" s="8">
        <v>46075.0</v>
      </c>
      <c r="W10" s="8">
        <v>46076.0</v>
      </c>
      <c r="X10" s="2" t="s">
        <v>44</v>
      </c>
      <c r="Y10" s="2"/>
      <c r="Z10" s="2"/>
      <c r="AA10" s="2"/>
      <c r="AB10" s="2"/>
      <c r="AC10" s="2"/>
      <c r="AD10" s="2"/>
      <c r="AE10" s="7"/>
    </row>
    <row r="11">
      <c r="A11" s="2">
        <v>10.0</v>
      </c>
      <c r="B11" s="2" t="s">
        <v>30</v>
      </c>
      <c r="C11" s="3" t="s">
        <v>31</v>
      </c>
      <c r="D11" s="4" t="s">
        <v>83</v>
      </c>
      <c r="E11" s="4" t="s">
        <v>69</v>
      </c>
      <c r="F11" s="4" t="s">
        <v>84</v>
      </c>
      <c r="G11" s="4" t="s">
        <v>85</v>
      </c>
      <c r="H11" s="4">
        <v>9.82901816E9</v>
      </c>
      <c r="I11" s="2" t="s">
        <v>36</v>
      </c>
      <c r="J11" s="2"/>
      <c r="K11" s="4" t="s">
        <v>86</v>
      </c>
      <c r="L11" s="4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7"/>
    </row>
    <row r="12">
      <c r="A12" s="2">
        <v>11.0</v>
      </c>
      <c r="B12" s="2" t="s">
        <v>30</v>
      </c>
      <c r="C12" s="3" t="s">
        <v>31</v>
      </c>
      <c r="D12" s="4" t="s">
        <v>87</v>
      </c>
      <c r="E12" s="4" t="s">
        <v>69</v>
      </c>
      <c r="F12" s="4" t="s">
        <v>88</v>
      </c>
      <c r="G12" s="4" t="s">
        <v>89</v>
      </c>
      <c r="H12" s="4">
        <v>8.80090057E9</v>
      </c>
      <c r="I12" s="2" t="s">
        <v>36</v>
      </c>
      <c r="J12" s="2"/>
      <c r="K12" s="4" t="s">
        <v>90</v>
      </c>
      <c r="L12" s="4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7"/>
    </row>
    <row r="13">
      <c r="A13" s="2">
        <v>12.0</v>
      </c>
      <c r="B13" s="2" t="s">
        <v>30</v>
      </c>
      <c r="C13" s="3" t="s">
        <v>31</v>
      </c>
      <c r="D13" s="4" t="s">
        <v>41</v>
      </c>
      <c r="E13" s="4" t="s">
        <v>69</v>
      </c>
      <c r="F13" s="4" t="s">
        <v>91</v>
      </c>
      <c r="G13" s="4" t="s">
        <v>92</v>
      </c>
      <c r="H13" s="4">
        <v>9.911066277E9</v>
      </c>
      <c r="I13" s="2" t="s">
        <v>36</v>
      </c>
      <c r="J13" s="2"/>
      <c r="K13" s="4" t="s">
        <v>93</v>
      </c>
      <c r="L13" s="4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7"/>
    </row>
    <row r="14">
      <c r="A14" s="2">
        <v>13.0</v>
      </c>
      <c r="B14" s="2" t="s">
        <v>30</v>
      </c>
      <c r="C14" s="3" t="s">
        <v>31</v>
      </c>
      <c r="D14" s="4" t="s">
        <v>41</v>
      </c>
      <c r="E14" s="4" t="s">
        <v>69</v>
      </c>
      <c r="F14" s="4" t="s">
        <v>94</v>
      </c>
      <c r="G14" s="4" t="s">
        <v>95</v>
      </c>
      <c r="H14" s="4">
        <v>9.891771068E9</v>
      </c>
      <c r="I14" s="2" t="s">
        <v>36</v>
      </c>
      <c r="J14" s="2"/>
      <c r="K14" s="4" t="s">
        <v>96</v>
      </c>
      <c r="L14" s="4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7"/>
    </row>
    <row r="15">
      <c r="A15" s="2">
        <v>14.0</v>
      </c>
      <c r="B15" s="2" t="s">
        <v>30</v>
      </c>
      <c r="C15" s="3" t="s">
        <v>31</v>
      </c>
      <c r="D15" s="4" t="s">
        <v>79</v>
      </c>
      <c r="E15" s="4" t="s">
        <v>69</v>
      </c>
      <c r="F15" s="4" t="s">
        <v>97</v>
      </c>
      <c r="G15" s="4" t="s">
        <v>98</v>
      </c>
      <c r="H15" s="4">
        <v>7.060577599E9</v>
      </c>
      <c r="I15" s="2" t="s">
        <v>36</v>
      </c>
      <c r="J15" s="2"/>
      <c r="K15" s="4" t="s">
        <v>99</v>
      </c>
      <c r="L15" s="4"/>
      <c r="M15" s="2"/>
      <c r="N15" s="2"/>
      <c r="O15" s="8">
        <v>46075.0</v>
      </c>
      <c r="P15" s="2" t="s">
        <v>79</v>
      </c>
      <c r="Q15" s="2"/>
      <c r="R15" s="2"/>
      <c r="S15" s="2"/>
      <c r="T15" s="2"/>
      <c r="U15" s="2" t="s">
        <v>43</v>
      </c>
      <c r="V15" s="8">
        <v>46075.0</v>
      </c>
      <c r="W15" s="8">
        <v>46076.0</v>
      </c>
      <c r="X15" s="2" t="s">
        <v>44</v>
      </c>
      <c r="Y15" s="2"/>
      <c r="Z15" s="2"/>
      <c r="AA15" s="2"/>
      <c r="AB15" s="2"/>
      <c r="AC15" s="2"/>
      <c r="AD15" s="2"/>
      <c r="AE15" s="7"/>
    </row>
    <row r="16">
      <c r="A16" s="2">
        <v>15.0</v>
      </c>
      <c r="B16" s="2" t="s">
        <v>30</v>
      </c>
      <c r="C16" s="3" t="s">
        <v>31</v>
      </c>
      <c r="D16" s="4" t="s">
        <v>79</v>
      </c>
      <c r="E16" s="4" t="s">
        <v>69</v>
      </c>
      <c r="F16" s="4" t="s">
        <v>100</v>
      </c>
      <c r="G16" s="4" t="s">
        <v>101</v>
      </c>
      <c r="H16" s="4">
        <v>9.760164317E9</v>
      </c>
      <c r="I16" s="2" t="s">
        <v>36</v>
      </c>
      <c r="J16" s="2"/>
      <c r="K16" s="4" t="s">
        <v>102</v>
      </c>
      <c r="L16" s="4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7"/>
    </row>
    <row r="17">
      <c r="A17" s="2">
        <v>16.0</v>
      </c>
      <c r="B17" s="2" t="s">
        <v>30</v>
      </c>
      <c r="C17" s="3" t="s">
        <v>31</v>
      </c>
      <c r="D17" s="4" t="s">
        <v>79</v>
      </c>
      <c r="E17" s="4" t="s">
        <v>69</v>
      </c>
      <c r="F17" s="4" t="s">
        <v>103</v>
      </c>
      <c r="G17" s="4" t="s">
        <v>104</v>
      </c>
      <c r="H17" s="4">
        <v>9.897518011E9</v>
      </c>
      <c r="I17" s="2" t="s">
        <v>36</v>
      </c>
      <c r="J17" s="2"/>
      <c r="K17" s="4" t="s">
        <v>105</v>
      </c>
      <c r="L17" s="4"/>
      <c r="M17" s="2"/>
      <c r="N17" s="2"/>
      <c r="O17" s="8">
        <v>46075.0</v>
      </c>
      <c r="P17" s="2" t="s">
        <v>79</v>
      </c>
      <c r="Q17" s="2"/>
      <c r="R17" s="2"/>
      <c r="S17" s="2"/>
      <c r="T17" s="2"/>
      <c r="U17" s="2" t="s">
        <v>43</v>
      </c>
      <c r="V17" s="8">
        <v>46075.0</v>
      </c>
      <c r="W17" s="8">
        <v>46076.0</v>
      </c>
      <c r="X17" s="2" t="s">
        <v>44</v>
      </c>
      <c r="Y17" s="2"/>
      <c r="Z17" s="2"/>
      <c r="AA17" s="2"/>
      <c r="AB17" s="2"/>
      <c r="AC17" s="2"/>
      <c r="AD17" s="2"/>
      <c r="AE17" s="7"/>
    </row>
    <row r="18">
      <c r="A18" s="2">
        <v>17.0</v>
      </c>
      <c r="B18" s="2" t="s">
        <v>30</v>
      </c>
      <c r="C18" s="3" t="s">
        <v>31</v>
      </c>
      <c r="D18" s="4" t="s">
        <v>41</v>
      </c>
      <c r="E18" s="4" t="s">
        <v>69</v>
      </c>
      <c r="F18" s="4" t="s">
        <v>106</v>
      </c>
      <c r="G18" s="4" t="s">
        <v>107</v>
      </c>
      <c r="H18" s="4">
        <v>9.868877797E9</v>
      </c>
      <c r="I18" s="2" t="s">
        <v>36</v>
      </c>
      <c r="J18" s="2"/>
      <c r="K18" s="4" t="s">
        <v>108</v>
      </c>
      <c r="L18" s="4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7"/>
    </row>
    <row r="19">
      <c r="A19" s="2">
        <v>18.0</v>
      </c>
      <c r="B19" s="2" t="s">
        <v>30</v>
      </c>
      <c r="C19" s="3" t="s">
        <v>31</v>
      </c>
      <c r="D19" s="4" t="s">
        <v>109</v>
      </c>
      <c r="E19" s="4" t="s">
        <v>110</v>
      </c>
      <c r="F19" s="4" t="s">
        <v>111</v>
      </c>
      <c r="G19" s="4" t="s">
        <v>112</v>
      </c>
      <c r="H19" s="4">
        <v>9.489485547E9</v>
      </c>
      <c r="I19" s="2" t="s">
        <v>36</v>
      </c>
      <c r="J19" s="2"/>
      <c r="K19" s="4" t="s">
        <v>113</v>
      </c>
      <c r="L19" s="4" t="s">
        <v>38</v>
      </c>
      <c r="M19" s="4" t="s">
        <v>38</v>
      </c>
      <c r="N19" s="4" t="s">
        <v>39</v>
      </c>
      <c r="O19" s="5">
        <v>46075.0</v>
      </c>
      <c r="P19" s="4" t="s">
        <v>40</v>
      </c>
      <c r="Q19" s="6">
        <v>0.6041666666666666</v>
      </c>
      <c r="R19" s="4" t="s">
        <v>41</v>
      </c>
      <c r="S19" s="6">
        <v>0.71875</v>
      </c>
      <c r="T19" s="2" t="s">
        <v>42</v>
      </c>
      <c r="U19" s="2" t="s">
        <v>43</v>
      </c>
      <c r="V19" s="5">
        <v>46075.0</v>
      </c>
      <c r="W19" s="5">
        <v>46076.0</v>
      </c>
      <c r="X19" s="2" t="s">
        <v>44</v>
      </c>
      <c r="Y19" s="2" t="s">
        <v>38</v>
      </c>
      <c r="Z19" s="2" t="s">
        <v>114</v>
      </c>
      <c r="AA19" s="5">
        <v>46076.0</v>
      </c>
      <c r="AB19" s="6">
        <v>0.8958333333333334</v>
      </c>
      <c r="AC19" s="2" t="s">
        <v>42</v>
      </c>
      <c r="AD19" s="2" t="s">
        <v>44</v>
      </c>
      <c r="AE19" s="7"/>
    </row>
    <row r="20">
      <c r="A20" s="2">
        <v>19.0</v>
      </c>
      <c r="B20" s="2" t="s">
        <v>30</v>
      </c>
      <c r="C20" s="3" t="s">
        <v>31</v>
      </c>
      <c r="D20" s="4" t="s">
        <v>68</v>
      </c>
      <c r="E20" s="4" t="s">
        <v>69</v>
      </c>
      <c r="F20" s="4" t="s">
        <v>115</v>
      </c>
      <c r="G20" s="4" t="s">
        <v>116</v>
      </c>
      <c r="H20" s="4">
        <v>9.873301767E9</v>
      </c>
      <c r="I20" s="2" t="s">
        <v>36</v>
      </c>
      <c r="J20" s="2"/>
      <c r="K20" s="4" t="s">
        <v>117</v>
      </c>
      <c r="L20" s="4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7"/>
    </row>
    <row r="21" ht="15.75" customHeight="1">
      <c r="A21" s="2">
        <v>20.0</v>
      </c>
      <c r="B21" s="2" t="s">
        <v>30</v>
      </c>
      <c r="C21" s="3" t="s">
        <v>31</v>
      </c>
      <c r="D21" s="4" t="s">
        <v>118</v>
      </c>
      <c r="E21" s="4" t="s">
        <v>69</v>
      </c>
      <c r="F21" s="4" t="s">
        <v>119</v>
      </c>
      <c r="G21" s="4" t="s">
        <v>120</v>
      </c>
      <c r="H21" s="4">
        <v>9.501010446E9</v>
      </c>
      <c r="I21" s="2" t="s">
        <v>36</v>
      </c>
      <c r="J21" s="2"/>
      <c r="K21" s="4" t="s">
        <v>121</v>
      </c>
      <c r="L21" s="4" t="s">
        <v>38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7"/>
    </row>
    <row r="22" ht="15.75" customHeight="1">
      <c r="A22" s="2">
        <v>21.0</v>
      </c>
      <c r="B22" s="2" t="s">
        <v>30</v>
      </c>
      <c r="C22" s="3" t="s">
        <v>31</v>
      </c>
      <c r="D22" s="4" t="s">
        <v>79</v>
      </c>
      <c r="E22" s="4" t="s">
        <v>69</v>
      </c>
      <c r="F22" s="4" t="s">
        <v>122</v>
      </c>
      <c r="G22" s="4" t="s">
        <v>123</v>
      </c>
      <c r="H22" s="4">
        <v>9.837041313E9</v>
      </c>
      <c r="I22" s="2" t="s">
        <v>36</v>
      </c>
      <c r="J22" s="2"/>
      <c r="K22" s="4" t="s">
        <v>124</v>
      </c>
      <c r="L22" s="4"/>
      <c r="M22" s="2"/>
      <c r="N22" s="2"/>
      <c r="O22" s="8">
        <v>46075.0</v>
      </c>
      <c r="P22" s="2" t="s">
        <v>79</v>
      </c>
      <c r="Q22" s="2"/>
      <c r="R22" s="2"/>
      <c r="S22" s="2"/>
      <c r="T22" s="2"/>
      <c r="U22" s="2" t="s">
        <v>43</v>
      </c>
      <c r="V22" s="8">
        <v>46075.0</v>
      </c>
      <c r="W22" s="8">
        <v>46076.0</v>
      </c>
      <c r="X22" s="2" t="s">
        <v>44</v>
      </c>
      <c r="Y22" s="2"/>
      <c r="Z22" s="2"/>
      <c r="AA22" s="2"/>
      <c r="AB22" s="2"/>
      <c r="AC22" s="2"/>
      <c r="AD22" s="2"/>
      <c r="AE22" s="7"/>
    </row>
    <row r="23" ht="15.75" customHeight="1">
      <c r="A23" s="2">
        <v>22.0</v>
      </c>
      <c r="B23" s="2" t="s">
        <v>30</v>
      </c>
      <c r="C23" s="3" t="s">
        <v>31</v>
      </c>
      <c r="D23" s="4" t="s">
        <v>79</v>
      </c>
      <c r="E23" s="4" t="s">
        <v>69</v>
      </c>
      <c r="F23" s="4" t="s">
        <v>125</v>
      </c>
      <c r="G23" s="4" t="s">
        <v>98</v>
      </c>
      <c r="H23" s="4">
        <v>9.917675675E9</v>
      </c>
      <c r="I23" s="2" t="s">
        <v>36</v>
      </c>
      <c r="J23" s="2"/>
      <c r="K23" s="4" t="s">
        <v>126</v>
      </c>
      <c r="L23" s="4"/>
      <c r="M23" s="2"/>
      <c r="N23" s="2"/>
      <c r="O23" s="8">
        <v>46075.0</v>
      </c>
      <c r="P23" s="2" t="s">
        <v>79</v>
      </c>
      <c r="Q23" s="2"/>
      <c r="R23" s="2"/>
      <c r="S23" s="2"/>
      <c r="T23" s="2"/>
      <c r="U23" s="2" t="s">
        <v>43</v>
      </c>
      <c r="V23" s="8">
        <v>46075.0</v>
      </c>
      <c r="W23" s="8">
        <v>46076.0</v>
      </c>
      <c r="X23" s="2" t="s">
        <v>44</v>
      </c>
      <c r="Y23" s="2"/>
      <c r="Z23" s="2"/>
      <c r="AA23" s="2"/>
      <c r="AB23" s="2"/>
      <c r="AC23" s="2"/>
      <c r="AD23" s="2"/>
      <c r="AE23" s="7"/>
    </row>
    <row r="24" ht="15.75" customHeight="1">
      <c r="A24" s="2">
        <v>23.0</v>
      </c>
      <c r="B24" s="2" t="s">
        <v>30</v>
      </c>
      <c r="C24" s="3" t="s">
        <v>31</v>
      </c>
      <c r="D24" s="4" t="s">
        <v>79</v>
      </c>
      <c r="E24" s="4" t="s">
        <v>127</v>
      </c>
      <c r="F24" s="4" t="s">
        <v>128</v>
      </c>
      <c r="G24" s="4" t="s">
        <v>129</v>
      </c>
      <c r="H24" s="4">
        <v>9.811021107E9</v>
      </c>
      <c r="I24" s="2" t="s">
        <v>36</v>
      </c>
      <c r="J24" s="2"/>
      <c r="K24" s="4" t="s">
        <v>130</v>
      </c>
      <c r="L24" s="4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7"/>
    </row>
    <row r="25" ht="15.75" customHeight="1">
      <c r="A25" s="2">
        <v>24.0</v>
      </c>
      <c r="B25" s="2" t="s">
        <v>30</v>
      </c>
      <c r="C25" s="3" t="s">
        <v>31</v>
      </c>
      <c r="D25" s="4" t="s">
        <v>79</v>
      </c>
      <c r="E25" s="4" t="s">
        <v>131</v>
      </c>
      <c r="F25" s="4" t="s">
        <v>132</v>
      </c>
      <c r="G25" s="4" t="s">
        <v>133</v>
      </c>
      <c r="H25" s="4">
        <v>9.412256575E9</v>
      </c>
      <c r="I25" s="2" t="s">
        <v>36</v>
      </c>
      <c r="J25" s="2"/>
      <c r="K25" s="4" t="s">
        <v>134</v>
      </c>
      <c r="L25" s="4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7"/>
    </row>
    <row r="26" ht="15.75" customHeight="1">
      <c r="A26" s="2">
        <v>25.0</v>
      </c>
      <c r="B26" s="2" t="s">
        <v>30</v>
      </c>
      <c r="C26" s="3" t="s">
        <v>31</v>
      </c>
      <c r="D26" s="4" t="s">
        <v>40</v>
      </c>
      <c r="E26" s="4" t="s">
        <v>135</v>
      </c>
      <c r="F26" s="4" t="s">
        <v>136</v>
      </c>
      <c r="G26" s="4" t="s">
        <v>137</v>
      </c>
      <c r="H26" s="4">
        <v>9.841078178E9</v>
      </c>
      <c r="I26" s="2" t="s">
        <v>36</v>
      </c>
      <c r="J26" s="2"/>
      <c r="K26" s="4" t="s">
        <v>138</v>
      </c>
      <c r="L26" s="4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7"/>
    </row>
    <row r="27" ht="15.75" customHeight="1">
      <c r="A27" s="2">
        <v>26.0</v>
      </c>
      <c r="B27" s="2" t="s">
        <v>30</v>
      </c>
      <c r="C27" s="3" t="s">
        <v>31</v>
      </c>
      <c r="D27" s="4" t="s">
        <v>87</v>
      </c>
      <c r="E27" s="4" t="s">
        <v>139</v>
      </c>
      <c r="F27" s="4" t="s">
        <v>140</v>
      </c>
      <c r="G27" s="4" t="s">
        <v>141</v>
      </c>
      <c r="H27" s="4">
        <v>9.582248991E9</v>
      </c>
      <c r="I27" s="2" t="s">
        <v>36</v>
      </c>
      <c r="J27" s="2"/>
      <c r="K27" s="4" t="s">
        <v>142</v>
      </c>
      <c r="L27" s="4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7"/>
    </row>
    <row r="28" ht="15.75" customHeight="1">
      <c r="A28" s="2">
        <v>27.0</v>
      </c>
      <c r="B28" s="2" t="s">
        <v>30</v>
      </c>
      <c r="C28" s="3" t="s">
        <v>31</v>
      </c>
      <c r="D28" s="4" t="s">
        <v>68</v>
      </c>
      <c r="E28" s="4" t="s">
        <v>143</v>
      </c>
      <c r="F28" s="4" t="s">
        <v>144</v>
      </c>
      <c r="G28" s="4" t="s">
        <v>145</v>
      </c>
      <c r="H28" s="4">
        <v>9.582958421E9</v>
      </c>
      <c r="I28" s="2" t="s">
        <v>36</v>
      </c>
      <c r="J28" s="2"/>
      <c r="K28" s="4" t="s">
        <v>146</v>
      </c>
      <c r="L28" s="4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7"/>
    </row>
    <row r="29" ht="15.75" customHeight="1">
      <c r="A29" s="2">
        <v>28.0</v>
      </c>
      <c r="B29" s="2" t="s">
        <v>30</v>
      </c>
      <c r="C29" s="3" t="s">
        <v>31</v>
      </c>
      <c r="D29" s="4" t="s">
        <v>147</v>
      </c>
      <c r="E29" s="4" t="s">
        <v>148</v>
      </c>
      <c r="F29" s="4" t="s">
        <v>149</v>
      </c>
      <c r="G29" s="4" t="s">
        <v>150</v>
      </c>
      <c r="H29" s="4">
        <v>9.810023573E9</v>
      </c>
      <c r="I29" s="2" t="s">
        <v>36</v>
      </c>
      <c r="J29" s="2"/>
      <c r="K29" s="4" t="s">
        <v>151</v>
      </c>
      <c r="L29" s="4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7"/>
    </row>
    <row r="30" ht="15.75" customHeight="1">
      <c r="A30" s="2">
        <v>29.0</v>
      </c>
      <c r="B30" s="2" t="s">
        <v>30</v>
      </c>
      <c r="C30" s="3" t="s">
        <v>31</v>
      </c>
      <c r="D30" s="4" t="s">
        <v>147</v>
      </c>
      <c r="E30" s="4" t="s">
        <v>152</v>
      </c>
      <c r="F30" s="4" t="s">
        <v>153</v>
      </c>
      <c r="G30" s="4" t="s">
        <v>154</v>
      </c>
      <c r="H30" s="4">
        <v>8.527363305E9</v>
      </c>
      <c r="I30" s="2" t="s">
        <v>36</v>
      </c>
      <c r="J30" s="2"/>
      <c r="K30" s="4" t="s">
        <v>155</v>
      </c>
      <c r="L30" s="4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7"/>
    </row>
    <row r="31" ht="15.75" customHeight="1">
      <c r="A31" s="2">
        <v>30.0</v>
      </c>
      <c r="B31" s="2" t="s">
        <v>30</v>
      </c>
      <c r="C31" s="3" t="s">
        <v>31</v>
      </c>
      <c r="D31" s="4" t="s">
        <v>147</v>
      </c>
      <c r="E31" s="4" t="s">
        <v>156</v>
      </c>
      <c r="F31" s="4" t="s">
        <v>157</v>
      </c>
      <c r="G31" s="4" t="s">
        <v>158</v>
      </c>
      <c r="H31" s="4">
        <v>9.810057344E9</v>
      </c>
      <c r="I31" s="2" t="s">
        <v>36</v>
      </c>
      <c r="J31" s="2"/>
      <c r="K31" s="4" t="s">
        <v>159</v>
      </c>
      <c r="L31" s="4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7"/>
    </row>
    <row r="32" ht="15.75" customHeight="1">
      <c r="A32" s="2">
        <v>31.0</v>
      </c>
      <c r="B32" s="2" t="s">
        <v>30</v>
      </c>
      <c r="C32" s="3" t="s">
        <v>31</v>
      </c>
      <c r="D32" s="4" t="s">
        <v>147</v>
      </c>
      <c r="E32" s="4" t="s">
        <v>160</v>
      </c>
      <c r="F32" s="4" t="s">
        <v>161</v>
      </c>
      <c r="G32" s="4" t="s">
        <v>158</v>
      </c>
      <c r="H32" s="4">
        <v>9.811059447E9</v>
      </c>
      <c r="I32" s="2" t="s">
        <v>36</v>
      </c>
      <c r="J32" s="2"/>
      <c r="K32" s="4" t="s">
        <v>162</v>
      </c>
      <c r="L32" s="4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7"/>
    </row>
    <row r="33" ht="15.75" customHeight="1">
      <c r="A33" s="2">
        <v>32.0</v>
      </c>
      <c r="B33" s="2" t="s">
        <v>30</v>
      </c>
      <c r="C33" s="3" t="s">
        <v>31</v>
      </c>
      <c r="D33" s="4" t="s">
        <v>147</v>
      </c>
      <c r="E33" s="4" t="s">
        <v>163</v>
      </c>
      <c r="F33" s="4" t="s">
        <v>164</v>
      </c>
      <c r="G33" s="4" t="s">
        <v>158</v>
      </c>
      <c r="H33" s="4">
        <v>9.811155319E9</v>
      </c>
      <c r="I33" s="2" t="s">
        <v>36</v>
      </c>
      <c r="J33" s="2"/>
      <c r="K33" s="4" t="s">
        <v>165</v>
      </c>
      <c r="L33" s="4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7"/>
    </row>
    <row r="34" ht="15.75" customHeight="1">
      <c r="A34" s="2">
        <v>33.0</v>
      </c>
      <c r="B34" s="2" t="s">
        <v>30</v>
      </c>
      <c r="C34" s="3" t="s">
        <v>31</v>
      </c>
      <c r="D34" s="4" t="s">
        <v>147</v>
      </c>
      <c r="E34" s="4" t="s">
        <v>166</v>
      </c>
      <c r="F34" s="4" t="s">
        <v>167</v>
      </c>
      <c r="G34" s="4" t="s">
        <v>168</v>
      </c>
      <c r="H34" s="4">
        <v>9.810638738E9</v>
      </c>
      <c r="I34" s="2" t="s">
        <v>36</v>
      </c>
      <c r="J34" s="2"/>
      <c r="K34" s="9" t="s">
        <v>169</v>
      </c>
      <c r="L34" s="4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7"/>
    </row>
    <row r="35" ht="15.75" customHeight="1">
      <c r="A35" s="2">
        <v>34.0</v>
      </c>
      <c r="B35" s="2" t="s">
        <v>30</v>
      </c>
      <c r="C35" s="3" t="s">
        <v>31</v>
      </c>
      <c r="D35" s="4" t="s">
        <v>79</v>
      </c>
      <c r="E35" s="4" t="s">
        <v>170</v>
      </c>
      <c r="F35" s="4" t="s">
        <v>171</v>
      </c>
      <c r="G35" s="4" t="s">
        <v>172</v>
      </c>
      <c r="H35" s="4">
        <v>9.837065456E9</v>
      </c>
      <c r="I35" s="2" t="s">
        <v>36</v>
      </c>
      <c r="J35" s="2"/>
      <c r="K35" s="4" t="s">
        <v>173</v>
      </c>
      <c r="L35" s="4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7"/>
    </row>
    <row r="36" ht="15.75" customHeight="1">
      <c r="A36" s="2">
        <v>35.0</v>
      </c>
      <c r="B36" s="2" t="s">
        <v>30</v>
      </c>
      <c r="C36" s="3" t="s">
        <v>31</v>
      </c>
      <c r="D36" s="4" t="s">
        <v>40</v>
      </c>
      <c r="E36" s="4" t="s">
        <v>174</v>
      </c>
      <c r="F36" s="4" t="s">
        <v>175</v>
      </c>
      <c r="G36" s="4" t="s">
        <v>176</v>
      </c>
      <c r="H36" s="4">
        <v>9.816698162E9</v>
      </c>
      <c r="I36" s="2" t="s">
        <v>36</v>
      </c>
      <c r="J36" s="2"/>
      <c r="K36" s="4" t="s">
        <v>177</v>
      </c>
      <c r="L36" s="4" t="s">
        <v>38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7"/>
    </row>
    <row r="37" ht="15.75" customHeight="1">
      <c r="A37" s="2">
        <v>36.0</v>
      </c>
      <c r="B37" s="2" t="s">
        <v>30</v>
      </c>
      <c r="C37" s="3" t="s">
        <v>31</v>
      </c>
      <c r="D37" s="4" t="s">
        <v>40</v>
      </c>
      <c r="E37" s="4" t="s">
        <v>178</v>
      </c>
      <c r="F37" s="4" t="s">
        <v>179</v>
      </c>
      <c r="G37" s="4" t="s">
        <v>180</v>
      </c>
      <c r="H37" s="4">
        <v>9.791359415E9</v>
      </c>
      <c r="I37" s="2" t="s">
        <v>36</v>
      </c>
      <c r="J37" s="2"/>
      <c r="K37" s="4" t="s">
        <v>181</v>
      </c>
      <c r="L37" s="4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7"/>
    </row>
    <row r="38" ht="15.75" customHeight="1">
      <c r="A38" s="2">
        <v>37.0</v>
      </c>
      <c r="B38" s="2" t="s">
        <v>30</v>
      </c>
      <c r="C38" s="3" t="s">
        <v>31</v>
      </c>
      <c r="D38" s="4" t="s">
        <v>68</v>
      </c>
      <c r="E38" s="4" t="s">
        <v>182</v>
      </c>
      <c r="F38" s="4" t="s">
        <v>183</v>
      </c>
      <c r="G38" s="4" t="s">
        <v>184</v>
      </c>
      <c r="H38" s="4">
        <v>9.968222227E9</v>
      </c>
      <c r="I38" s="2" t="s">
        <v>36</v>
      </c>
      <c r="J38" s="2"/>
      <c r="K38" s="4" t="s">
        <v>185</v>
      </c>
      <c r="L38" s="4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7"/>
    </row>
    <row r="39" ht="15.75" customHeight="1">
      <c r="A39" s="2">
        <v>38.0</v>
      </c>
      <c r="B39" s="2" t="s">
        <v>30</v>
      </c>
      <c r="C39" s="3" t="s">
        <v>31</v>
      </c>
      <c r="D39" s="4" t="s">
        <v>68</v>
      </c>
      <c r="E39" s="4" t="s">
        <v>182</v>
      </c>
      <c r="F39" s="4" t="s">
        <v>186</v>
      </c>
      <c r="G39" s="4" t="s">
        <v>187</v>
      </c>
      <c r="H39" s="4">
        <v>7.056535283E9</v>
      </c>
      <c r="I39" s="2" t="s">
        <v>36</v>
      </c>
      <c r="J39" s="2"/>
      <c r="K39" s="4" t="s">
        <v>188</v>
      </c>
      <c r="L39" s="4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7"/>
    </row>
    <row r="40" ht="15.75" customHeight="1">
      <c r="A40" s="2">
        <v>39.0</v>
      </c>
      <c r="B40" s="2" t="s">
        <v>30</v>
      </c>
      <c r="C40" s="3" t="s">
        <v>31</v>
      </c>
      <c r="D40" s="4" t="s">
        <v>41</v>
      </c>
      <c r="E40" s="4" t="s">
        <v>189</v>
      </c>
      <c r="F40" s="4" t="s">
        <v>190</v>
      </c>
      <c r="G40" s="4" t="s">
        <v>191</v>
      </c>
      <c r="H40" s="4">
        <v>9.820013533E9</v>
      </c>
      <c r="I40" s="2" t="s">
        <v>36</v>
      </c>
      <c r="J40" s="2"/>
      <c r="K40" s="4" t="s">
        <v>192</v>
      </c>
      <c r="L40" s="4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7"/>
    </row>
    <row r="41" ht="15.75" customHeight="1">
      <c r="A41" s="2">
        <v>40.0</v>
      </c>
      <c r="B41" s="2" t="s">
        <v>30</v>
      </c>
      <c r="C41" s="3" t="s">
        <v>31</v>
      </c>
      <c r="D41" s="4" t="s">
        <v>79</v>
      </c>
      <c r="E41" s="4" t="s">
        <v>193</v>
      </c>
      <c r="F41" s="4" t="s">
        <v>194</v>
      </c>
      <c r="G41" s="4" t="s">
        <v>195</v>
      </c>
      <c r="H41" s="4">
        <v>9.927860065E9</v>
      </c>
      <c r="I41" s="2" t="s">
        <v>36</v>
      </c>
      <c r="J41" s="2"/>
      <c r="K41" s="4" t="s">
        <v>196</v>
      </c>
      <c r="L41" s="4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7"/>
    </row>
    <row r="42" ht="15.75" customHeight="1">
      <c r="A42" s="2">
        <v>41.0</v>
      </c>
      <c r="B42" s="2" t="s">
        <v>30</v>
      </c>
      <c r="C42" s="3" t="s">
        <v>31</v>
      </c>
      <c r="D42" s="4" t="s">
        <v>79</v>
      </c>
      <c r="E42" s="4" t="s">
        <v>197</v>
      </c>
      <c r="F42" s="4" t="s">
        <v>198</v>
      </c>
      <c r="G42" s="4" t="s">
        <v>199</v>
      </c>
      <c r="H42" s="4">
        <v>9.548389512E9</v>
      </c>
      <c r="I42" s="2" t="s">
        <v>36</v>
      </c>
      <c r="J42" s="2"/>
      <c r="K42" s="4" t="s">
        <v>200</v>
      </c>
      <c r="L42" s="4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7"/>
    </row>
    <row r="43" ht="15.75" customHeight="1">
      <c r="A43" s="2">
        <v>42.0</v>
      </c>
      <c r="B43" s="2" t="s">
        <v>30</v>
      </c>
      <c r="C43" s="3" t="s">
        <v>31</v>
      </c>
      <c r="D43" s="4" t="s">
        <v>79</v>
      </c>
      <c r="E43" s="4" t="s">
        <v>201</v>
      </c>
      <c r="F43" s="4" t="s">
        <v>202</v>
      </c>
      <c r="G43" s="4" t="s">
        <v>203</v>
      </c>
      <c r="H43" s="4">
        <v>9.759117704E9</v>
      </c>
      <c r="I43" s="2" t="s">
        <v>36</v>
      </c>
      <c r="J43" s="2"/>
      <c r="K43" s="4" t="s">
        <v>204</v>
      </c>
      <c r="L43" s="4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7"/>
    </row>
    <row r="44" ht="15.75" customHeight="1">
      <c r="A44" s="2">
        <v>43.0</v>
      </c>
      <c r="B44" s="2" t="s">
        <v>30</v>
      </c>
      <c r="C44" s="3" t="s">
        <v>31</v>
      </c>
      <c r="D44" s="4" t="s">
        <v>79</v>
      </c>
      <c r="E44" s="4" t="s">
        <v>205</v>
      </c>
      <c r="F44" s="4" t="s">
        <v>206</v>
      </c>
      <c r="G44" s="4" t="s">
        <v>207</v>
      </c>
      <c r="H44" s="4">
        <v>8.865009355E9</v>
      </c>
      <c r="I44" s="2" t="s">
        <v>36</v>
      </c>
      <c r="J44" s="2"/>
      <c r="K44" s="4" t="s">
        <v>208</v>
      </c>
      <c r="L44" s="4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7"/>
    </row>
    <row r="45" ht="15.75" customHeight="1">
      <c r="A45" s="2">
        <v>44.0</v>
      </c>
      <c r="B45" s="2" t="s">
        <v>30</v>
      </c>
      <c r="C45" s="3" t="s">
        <v>31</v>
      </c>
      <c r="D45" s="4" t="s">
        <v>79</v>
      </c>
      <c r="E45" s="4" t="s">
        <v>209</v>
      </c>
      <c r="F45" s="4" t="s">
        <v>210</v>
      </c>
      <c r="G45" s="4" t="s">
        <v>211</v>
      </c>
      <c r="H45" s="4">
        <v>9.760023402E9</v>
      </c>
      <c r="I45" s="2" t="s">
        <v>36</v>
      </c>
      <c r="J45" s="2"/>
      <c r="K45" s="4" t="s">
        <v>212</v>
      </c>
      <c r="L45" s="4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7"/>
    </row>
    <row r="46" ht="15.75" customHeight="1">
      <c r="A46" s="2">
        <v>45.0</v>
      </c>
      <c r="B46" s="2" t="s">
        <v>30</v>
      </c>
      <c r="C46" s="3" t="s">
        <v>31</v>
      </c>
      <c r="D46" s="4" t="s">
        <v>79</v>
      </c>
      <c r="E46" s="4" t="s">
        <v>213</v>
      </c>
      <c r="F46" s="4" t="s">
        <v>214</v>
      </c>
      <c r="G46" s="4" t="s">
        <v>215</v>
      </c>
      <c r="H46" s="4">
        <v>9.027641578E9</v>
      </c>
      <c r="I46" s="2" t="s">
        <v>36</v>
      </c>
      <c r="J46" s="2"/>
      <c r="K46" s="4" t="s">
        <v>216</v>
      </c>
      <c r="L46" s="4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7"/>
    </row>
    <row r="47" ht="15.75" customHeight="1">
      <c r="A47" s="2">
        <v>46.0</v>
      </c>
      <c r="B47" s="2" t="s">
        <v>30</v>
      </c>
      <c r="C47" s="3" t="s">
        <v>31</v>
      </c>
      <c r="D47" s="4" t="s">
        <v>147</v>
      </c>
      <c r="E47" s="4" t="s">
        <v>217</v>
      </c>
      <c r="F47" s="4" t="s">
        <v>218</v>
      </c>
      <c r="G47" s="4" t="s">
        <v>219</v>
      </c>
      <c r="H47" s="4">
        <v>9.315401756E9</v>
      </c>
      <c r="I47" s="2" t="s">
        <v>36</v>
      </c>
      <c r="J47" s="2"/>
      <c r="K47" s="4" t="s">
        <v>220</v>
      </c>
      <c r="L47" s="4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7"/>
    </row>
    <row r="48" ht="15.75" customHeight="1">
      <c r="A48" s="2">
        <v>47.0</v>
      </c>
      <c r="B48" s="2" t="s">
        <v>30</v>
      </c>
      <c r="C48" s="3" t="s">
        <v>31</v>
      </c>
      <c r="D48" s="4" t="s">
        <v>147</v>
      </c>
      <c r="E48" s="4" t="s">
        <v>217</v>
      </c>
      <c r="F48" s="4" t="s">
        <v>221</v>
      </c>
      <c r="G48" s="4" t="s">
        <v>222</v>
      </c>
      <c r="H48" s="4">
        <v>9.811873734E9</v>
      </c>
      <c r="I48" s="2" t="s">
        <v>60</v>
      </c>
      <c r="J48" s="2"/>
      <c r="K48" s="4" t="s">
        <v>223</v>
      </c>
      <c r="L48" s="4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7"/>
    </row>
    <row r="49" ht="15.75" customHeight="1">
      <c r="A49" s="2">
        <v>48.0</v>
      </c>
      <c r="B49" s="2" t="s">
        <v>30</v>
      </c>
      <c r="C49" s="3" t="s">
        <v>31</v>
      </c>
      <c r="D49" s="4" t="s">
        <v>87</v>
      </c>
      <c r="E49" s="4" t="s">
        <v>224</v>
      </c>
      <c r="F49" s="4" t="s">
        <v>225</v>
      </c>
      <c r="G49" s="4" t="s">
        <v>226</v>
      </c>
      <c r="H49" s="4">
        <v>8.287969563E9</v>
      </c>
      <c r="I49" s="2" t="s">
        <v>36</v>
      </c>
      <c r="J49" s="2"/>
      <c r="K49" s="4" t="s">
        <v>227</v>
      </c>
      <c r="L49" s="4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7"/>
    </row>
    <row r="50" ht="15.75" customHeight="1">
      <c r="A50" s="2">
        <v>49.0</v>
      </c>
      <c r="B50" s="2" t="s">
        <v>30</v>
      </c>
      <c r="C50" s="3" t="s">
        <v>31</v>
      </c>
      <c r="D50" s="4" t="s">
        <v>79</v>
      </c>
      <c r="E50" s="4" t="s">
        <v>228</v>
      </c>
      <c r="F50" s="4" t="s">
        <v>229</v>
      </c>
      <c r="G50" s="4" t="s">
        <v>49</v>
      </c>
      <c r="H50" s="4">
        <v>9.667275588E9</v>
      </c>
      <c r="I50" s="2" t="s">
        <v>36</v>
      </c>
      <c r="J50" s="2"/>
      <c r="K50" s="4" t="s">
        <v>230</v>
      </c>
      <c r="L50" s="4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7"/>
    </row>
    <row r="51" ht="15.75" customHeight="1">
      <c r="A51" s="2">
        <v>50.0</v>
      </c>
      <c r="B51" s="2" t="s">
        <v>30</v>
      </c>
      <c r="C51" s="3" t="s">
        <v>31</v>
      </c>
      <c r="D51" s="4" t="s">
        <v>231</v>
      </c>
      <c r="E51" s="4" t="s">
        <v>232</v>
      </c>
      <c r="F51" s="4" t="s">
        <v>233</v>
      </c>
      <c r="G51" s="4" t="s">
        <v>234</v>
      </c>
      <c r="H51" s="4">
        <v>9.84602423E9</v>
      </c>
      <c r="I51" s="2" t="s">
        <v>36</v>
      </c>
      <c r="J51" s="2"/>
      <c r="K51" s="4" t="s">
        <v>235</v>
      </c>
      <c r="L51" s="4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7"/>
    </row>
    <row r="52" ht="15.75" customHeight="1">
      <c r="A52" s="2">
        <v>51.0</v>
      </c>
      <c r="B52" s="2" t="s">
        <v>30</v>
      </c>
      <c r="C52" s="3" t="s">
        <v>31</v>
      </c>
      <c r="D52" s="4" t="s">
        <v>41</v>
      </c>
      <c r="E52" s="4" t="s">
        <v>236</v>
      </c>
      <c r="F52" s="4" t="s">
        <v>237</v>
      </c>
      <c r="G52" s="4" t="s">
        <v>238</v>
      </c>
      <c r="H52" s="4">
        <v>9.910536111E9</v>
      </c>
      <c r="I52" s="2" t="s">
        <v>36</v>
      </c>
      <c r="J52" s="2"/>
      <c r="K52" s="4" t="s">
        <v>239</v>
      </c>
      <c r="L52" s="4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7"/>
    </row>
    <row r="53" ht="15.75" customHeight="1">
      <c r="A53" s="2">
        <v>52.0</v>
      </c>
      <c r="B53" s="2" t="s">
        <v>30</v>
      </c>
      <c r="C53" s="3" t="s">
        <v>31</v>
      </c>
      <c r="D53" s="4" t="s">
        <v>147</v>
      </c>
      <c r="E53" s="4" t="s">
        <v>240</v>
      </c>
      <c r="F53" s="4" t="s">
        <v>241</v>
      </c>
      <c r="G53" s="4" t="s">
        <v>234</v>
      </c>
      <c r="H53" s="4">
        <v>1.204500201E9</v>
      </c>
      <c r="I53" s="2" t="s">
        <v>36</v>
      </c>
      <c r="J53" s="2"/>
      <c r="K53" s="4" t="s">
        <v>242</v>
      </c>
      <c r="L53" s="4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7"/>
    </row>
    <row r="54" ht="15.75" customHeight="1">
      <c r="A54" s="2">
        <v>53.0</v>
      </c>
      <c r="B54" s="2" t="s">
        <v>30</v>
      </c>
      <c r="C54" s="3" t="s">
        <v>31</v>
      </c>
      <c r="D54" s="4" t="s">
        <v>147</v>
      </c>
      <c r="E54" s="4" t="s">
        <v>240</v>
      </c>
      <c r="F54" s="4" t="s">
        <v>243</v>
      </c>
      <c r="G54" s="4" t="s">
        <v>244</v>
      </c>
      <c r="H54" s="4">
        <v>9.088813242E9</v>
      </c>
      <c r="I54" s="2" t="s">
        <v>36</v>
      </c>
      <c r="J54" s="2"/>
      <c r="K54" s="4" t="s">
        <v>245</v>
      </c>
      <c r="L54" s="4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7"/>
    </row>
    <row r="55" ht="15.75" customHeight="1">
      <c r="A55" s="2">
        <v>54.0</v>
      </c>
      <c r="B55" s="2" t="s">
        <v>30</v>
      </c>
      <c r="C55" s="3" t="s">
        <v>31</v>
      </c>
      <c r="D55" s="4" t="s">
        <v>147</v>
      </c>
      <c r="E55" s="4" t="s">
        <v>240</v>
      </c>
      <c r="F55" s="4" t="s">
        <v>246</v>
      </c>
      <c r="G55" s="4" t="s">
        <v>247</v>
      </c>
      <c r="H55" s="4">
        <v>9.899559113E9</v>
      </c>
      <c r="I55" s="2" t="s">
        <v>36</v>
      </c>
      <c r="J55" s="2"/>
      <c r="K55" s="4" t="s">
        <v>248</v>
      </c>
      <c r="L55" s="4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7"/>
    </row>
    <row r="56" ht="15.75" customHeight="1">
      <c r="A56" s="2">
        <v>55.0</v>
      </c>
      <c r="B56" s="2" t="s">
        <v>30</v>
      </c>
      <c r="C56" s="3" t="s">
        <v>31</v>
      </c>
      <c r="D56" s="4" t="s">
        <v>147</v>
      </c>
      <c r="E56" s="4" t="s">
        <v>240</v>
      </c>
      <c r="F56" s="4" t="s">
        <v>249</v>
      </c>
      <c r="G56" s="4" t="s">
        <v>250</v>
      </c>
      <c r="H56" s="4">
        <v>9.87147815E9</v>
      </c>
      <c r="I56" s="2" t="s">
        <v>36</v>
      </c>
      <c r="J56" s="2"/>
      <c r="K56" s="4" t="s">
        <v>251</v>
      </c>
      <c r="L56" s="4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7"/>
    </row>
    <row r="57" ht="15.75" customHeight="1">
      <c r="A57" s="2">
        <v>56.0</v>
      </c>
      <c r="B57" s="2" t="s">
        <v>30</v>
      </c>
      <c r="C57" s="3" t="s">
        <v>31</v>
      </c>
      <c r="D57" s="4" t="s">
        <v>147</v>
      </c>
      <c r="E57" s="4" t="s">
        <v>240</v>
      </c>
      <c r="F57" s="4" t="s">
        <v>252</v>
      </c>
      <c r="G57" s="4" t="s">
        <v>253</v>
      </c>
      <c r="H57" s="4">
        <v>9.631690595E9</v>
      </c>
      <c r="I57" s="2" t="s">
        <v>36</v>
      </c>
      <c r="J57" s="2"/>
      <c r="K57" s="4" t="s">
        <v>254</v>
      </c>
      <c r="L57" s="4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7"/>
    </row>
    <row r="58" ht="15.75" customHeight="1">
      <c r="A58" s="2">
        <v>57.0</v>
      </c>
      <c r="B58" s="2" t="s">
        <v>30</v>
      </c>
      <c r="C58" s="3" t="s">
        <v>31</v>
      </c>
      <c r="D58" s="4" t="s">
        <v>147</v>
      </c>
      <c r="E58" s="4" t="s">
        <v>255</v>
      </c>
      <c r="F58" s="4" t="s">
        <v>256</v>
      </c>
      <c r="G58" s="4" t="s">
        <v>257</v>
      </c>
      <c r="H58" s="4">
        <v>7.255040574E9</v>
      </c>
      <c r="I58" s="2" t="s">
        <v>36</v>
      </c>
      <c r="J58" s="2"/>
      <c r="K58" s="4" t="s">
        <v>258</v>
      </c>
      <c r="L58" s="4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7"/>
    </row>
    <row r="59" ht="15.75" customHeight="1">
      <c r="A59" s="2">
        <v>58.0</v>
      </c>
      <c r="B59" s="2" t="s">
        <v>30</v>
      </c>
      <c r="C59" s="3" t="s">
        <v>31</v>
      </c>
      <c r="D59" s="4" t="s">
        <v>147</v>
      </c>
      <c r="E59" s="4" t="s">
        <v>259</v>
      </c>
      <c r="F59" s="4" t="s">
        <v>260</v>
      </c>
      <c r="G59" s="4" t="s">
        <v>261</v>
      </c>
      <c r="H59" s="4">
        <v>9.871988733E9</v>
      </c>
      <c r="I59" s="2" t="s">
        <v>36</v>
      </c>
      <c r="J59" s="2"/>
      <c r="K59" s="4" t="s">
        <v>262</v>
      </c>
      <c r="L59" s="4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7"/>
    </row>
    <row r="60" ht="15.75" customHeight="1">
      <c r="A60" s="2">
        <v>59.0</v>
      </c>
      <c r="B60" s="2" t="s">
        <v>30</v>
      </c>
      <c r="C60" s="3" t="s">
        <v>31</v>
      </c>
      <c r="D60" s="4" t="s">
        <v>147</v>
      </c>
      <c r="E60" s="4" t="s">
        <v>263</v>
      </c>
      <c r="F60" s="4" t="s">
        <v>264</v>
      </c>
      <c r="G60" s="4" t="s">
        <v>59</v>
      </c>
      <c r="H60" s="4">
        <v>9.55531448E9</v>
      </c>
      <c r="I60" s="2" t="s">
        <v>36</v>
      </c>
      <c r="J60" s="2"/>
      <c r="K60" s="4" t="s">
        <v>265</v>
      </c>
      <c r="L60" s="4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7"/>
    </row>
    <row r="61" ht="15.75" customHeight="1">
      <c r="A61" s="2">
        <v>60.0</v>
      </c>
      <c r="B61" s="2" t="s">
        <v>30</v>
      </c>
      <c r="C61" s="3" t="s">
        <v>31</v>
      </c>
      <c r="D61" s="4" t="s">
        <v>147</v>
      </c>
      <c r="E61" s="4" t="s">
        <v>266</v>
      </c>
      <c r="F61" s="4" t="s">
        <v>267</v>
      </c>
      <c r="G61" s="4" t="s">
        <v>59</v>
      </c>
      <c r="H61" s="4">
        <v>8.860522163E9</v>
      </c>
      <c r="I61" s="2" t="s">
        <v>36</v>
      </c>
      <c r="J61" s="2"/>
      <c r="K61" s="4" t="s">
        <v>268</v>
      </c>
      <c r="L61" s="4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7"/>
    </row>
    <row r="62" ht="15.75" customHeight="1">
      <c r="A62" s="2">
        <v>61.0</v>
      </c>
      <c r="B62" s="2" t="s">
        <v>30</v>
      </c>
      <c r="C62" s="3" t="s">
        <v>31</v>
      </c>
      <c r="D62" s="4" t="s">
        <v>41</v>
      </c>
      <c r="E62" s="4" t="s">
        <v>269</v>
      </c>
      <c r="F62" s="4" t="s">
        <v>270</v>
      </c>
      <c r="G62" s="4" t="s">
        <v>271</v>
      </c>
      <c r="H62" s="4">
        <v>8.8E9</v>
      </c>
      <c r="I62" s="2" t="s">
        <v>36</v>
      </c>
      <c r="J62" s="2"/>
      <c r="K62" s="4" t="s">
        <v>272</v>
      </c>
      <c r="L62" s="4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7"/>
    </row>
    <row r="63" ht="15.75" customHeight="1">
      <c r="A63" s="2">
        <v>62.0</v>
      </c>
      <c r="B63" s="2" t="s">
        <v>30</v>
      </c>
      <c r="C63" s="3" t="s">
        <v>31</v>
      </c>
      <c r="D63" s="4" t="s">
        <v>79</v>
      </c>
      <c r="E63" s="4" t="s">
        <v>273</v>
      </c>
      <c r="F63" s="4" t="s">
        <v>274</v>
      </c>
      <c r="G63" s="4" t="s">
        <v>275</v>
      </c>
      <c r="H63" s="4">
        <v>9.89704905E9</v>
      </c>
      <c r="I63" s="2" t="s">
        <v>36</v>
      </c>
      <c r="J63" s="2"/>
      <c r="K63" s="4" t="s">
        <v>276</v>
      </c>
      <c r="L63" s="4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7"/>
    </row>
    <row r="64" ht="15.75" customHeight="1">
      <c r="A64" s="2">
        <v>63.0</v>
      </c>
      <c r="B64" s="2" t="s">
        <v>30</v>
      </c>
      <c r="C64" s="3" t="s">
        <v>31</v>
      </c>
      <c r="D64" s="4" t="s">
        <v>79</v>
      </c>
      <c r="E64" s="4" t="s">
        <v>273</v>
      </c>
      <c r="F64" s="4" t="s">
        <v>277</v>
      </c>
      <c r="G64" s="4" t="s">
        <v>278</v>
      </c>
      <c r="H64" s="4">
        <v>9.760018805E9</v>
      </c>
      <c r="I64" s="2" t="s">
        <v>36</v>
      </c>
      <c r="J64" s="2"/>
      <c r="K64" s="4" t="s">
        <v>279</v>
      </c>
      <c r="L64" s="4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7"/>
    </row>
    <row r="65" ht="15.75" customHeight="1">
      <c r="A65" s="2">
        <v>64.0</v>
      </c>
      <c r="B65" s="2" t="s">
        <v>30</v>
      </c>
      <c r="C65" s="3" t="s">
        <v>31</v>
      </c>
      <c r="D65" s="4" t="s">
        <v>41</v>
      </c>
      <c r="E65" s="4" t="s">
        <v>280</v>
      </c>
      <c r="F65" s="4" t="s">
        <v>281</v>
      </c>
      <c r="G65" s="4" t="s">
        <v>49</v>
      </c>
      <c r="H65" s="4">
        <v>9.971795076E9</v>
      </c>
      <c r="I65" s="2" t="s">
        <v>36</v>
      </c>
      <c r="J65" s="2"/>
      <c r="K65" s="4" t="s">
        <v>282</v>
      </c>
      <c r="L65" s="4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7"/>
    </row>
    <row r="66" ht="15.75" customHeight="1">
      <c r="A66" s="2">
        <v>65.0</v>
      </c>
      <c r="B66" s="2" t="s">
        <v>30</v>
      </c>
      <c r="C66" s="3" t="s">
        <v>31</v>
      </c>
      <c r="D66" s="4" t="s">
        <v>87</v>
      </c>
      <c r="E66" s="4" t="s">
        <v>283</v>
      </c>
      <c r="F66" s="4" t="s">
        <v>284</v>
      </c>
      <c r="G66" s="4" t="s">
        <v>176</v>
      </c>
      <c r="H66" s="4">
        <v>9.819500338E9</v>
      </c>
      <c r="I66" s="2" t="s">
        <v>60</v>
      </c>
      <c r="J66" s="2"/>
      <c r="K66" s="4" t="s">
        <v>285</v>
      </c>
      <c r="L66" s="4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7"/>
    </row>
    <row r="67" ht="15.75" customHeight="1">
      <c r="A67" s="2">
        <v>66.0</v>
      </c>
      <c r="B67" s="2" t="s">
        <v>30</v>
      </c>
      <c r="C67" s="10" t="s">
        <v>31</v>
      </c>
      <c r="D67" s="9" t="s">
        <v>40</v>
      </c>
      <c r="E67" s="4" t="s">
        <v>286</v>
      </c>
      <c r="F67" s="4" t="s">
        <v>287</v>
      </c>
      <c r="G67" s="4" t="s">
        <v>288</v>
      </c>
      <c r="H67" s="4">
        <v>9.789261008E9</v>
      </c>
      <c r="I67" s="2" t="s">
        <v>36</v>
      </c>
      <c r="J67" s="2"/>
      <c r="K67" s="4" t="s">
        <v>289</v>
      </c>
      <c r="L67" s="4" t="s">
        <v>38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7"/>
    </row>
    <row r="68" ht="15.75" customHeight="1">
      <c r="A68" s="2">
        <v>67.0</v>
      </c>
      <c r="B68" s="2" t="s">
        <v>30</v>
      </c>
      <c r="C68" s="3" t="s">
        <v>31</v>
      </c>
      <c r="D68" s="4" t="s">
        <v>40</v>
      </c>
      <c r="E68" s="4" t="s">
        <v>286</v>
      </c>
      <c r="F68" s="4" t="s">
        <v>290</v>
      </c>
      <c r="G68" s="4" t="s">
        <v>291</v>
      </c>
      <c r="H68" s="11">
        <v>9.790920258E9</v>
      </c>
      <c r="I68" s="2" t="s">
        <v>36</v>
      </c>
      <c r="J68" s="2"/>
      <c r="K68" s="4" t="s">
        <v>292</v>
      </c>
      <c r="L68" s="4" t="s">
        <v>38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7"/>
    </row>
    <row r="69" ht="15.75" customHeight="1">
      <c r="A69" s="2">
        <v>68.0</v>
      </c>
      <c r="B69" s="2" t="s">
        <v>30</v>
      </c>
      <c r="C69" s="10" t="s">
        <v>31</v>
      </c>
      <c r="D69" s="9" t="s">
        <v>32</v>
      </c>
      <c r="E69" s="4" t="s">
        <v>293</v>
      </c>
      <c r="F69" s="4" t="s">
        <v>294</v>
      </c>
      <c r="G69" s="4" t="s">
        <v>295</v>
      </c>
      <c r="H69" s="4">
        <v>9.842357E9</v>
      </c>
      <c r="I69" s="2" t="s">
        <v>36</v>
      </c>
      <c r="J69" s="2"/>
      <c r="K69" s="4" t="s">
        <v>296</v>
      </c>
      <c r="L69" s="4" t="s">
        <v>38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7"/>
    </row>
    <row r="70" ht="15.75" customHeight="1">
      <c r="A70" s="2">
        <v>69.0</v>
      </c>
      <c r="B70" s="2" t="s">
        <v>30</v>
      </c>
      <c r="C70" s="10" t="s">
        <v>31</v>
      </c>
      <c r="D70" s="9" t="s">
        <v>297</v>
      </c>
      <c r="E70" s="4" t="s">
        <v>298</v>
      </c>
      <c r="F70" s="4" t="s">
        <v>299</v>
      </c>
      <c r="G70" s="4" t="s">
        <v>300</v>
      </c>
      <c r="H70" s="4">
        <v>9.566931813E9</v>
      </c>
      <c r="I70" s="2" t="s">
        <v>36</v>
      </c>
      <c r="J70" s="2"/>
      <c r="K70" s="4" t="s">
        <v>301</v>
      </c>
      <c r="L70" s="4" t="s">
        <v>38</v>
      </c>
      <c r="M70" s="4" t="s">
        <v>38</v>
      </c>
      <c r="N70" s="4" t="s">
        <v>39</v>
      </c>
      <c r="O70" s="8">
        <v>46075.0</v>
      </c>
      <c r="P70" s="4" t="s">
        <v>40</v>
      </c>
      <c r="Q70" s="6">
        <v>0.6041666666666666</v>
      </c>
      <c r="R70" s="4" t="s">
        <v>41</v>
      </c>
      <c r="S70" s="6">
        <v>0.71875</v>
      </c>
      <c r="T70" s="2" t="s">
        <v>42</v>
      </c>
      <c r="U70" s="2" t="s">
        <v>43</v>
      </c>
      <c r="V70" s="5">
        <v>46075.0</v>
      </c>
      <c r="W70" s="5">
        <v>46076.0</v>
      </c>
      <c r="X70" s="2" t="s">
        <v>44</v>
      </c>
      <c r="Y70" s="2" t="s">
        <v>38</v>
      </c>
      <c r="Z70" s="2" t="s">
        <v>114</v>
      </c>
      <c r="AA70" s="5">
        <v>46076.0</v>
      </c>
      <c r="AB70" s="6">
        <v>0.8958333333333334</v>
      </c>
      <c r="AC70" s="2" t="s">
        <v>42</v>
      </c>
      <c r="AD70" s="2" t="s">
        <v>44</v>
      </c>
      <c r="AE70" s="7"/>
    </row>
    <row r="71" ht="15.75" customHeight="1">
      <c r="A71" s="2">
        <v>70.0</v>
      </c>
      <c r="B71" s="2" t="s">
        <v>30</v>
      </c>
      <c r="C71" s="10" t="s">
        <v>31</v>
      </c>
      <c r="D71" s="9" t="s">
        <v>297</v>
      </c>
      <c r="E71" s="4" t="s">
        <v>298</v>
      </c>
      <c r="F71" s="4" t="s">
        <v>302</v>
      </c>
      <c r="G71" s="4" t="s">
        <v>303</v>
      </c>
      <c r="H71" s="4">
        <v>9.884216676E9</v>
      </c>
      <c r="I71" s="2" t="s">
        <v>36</v>
      </c>
      <c r="J71" s="2"/>
      <c r="K71" s="4" t="s">
        <v>304</v>
      </c>
      <c r="L71" s="4" t="s">
        <v>38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7"/>
    </row>
    <row r="72" ht="15.75" customHeight="1">
      <c r="A72" s="2">
        <v>71.0</v>
      </c>
      <c r="B72" s="12" t="s">
        <v>305</v>
      </c>
      <c r="C72" s="12" t="s">
        <v>306</v>
      </c>
      <c r="D72" s="12" t="s">
        <v>307</v>
      </c>
      <c r="E72" s="12" t="s">
        <v>308</v>
      </c>
      <c r="F72" s="12" t="s">
        <v>309</v>
      </c>
      <c r="G72" s="12" t="s">
        <v>310</v>
      </c>
      <c r="H72" s="12">
        <v>9.971489936E9</v>
      </c>
      <c r="I72" s="12" t="s">
        <v>36</v>
      </c>
      <c r="J72" s="13"/>
      <c r="K72" s="12" t="s">
        <v>311</v>
      </c>
      <c r="L72" s="4"/>
      <c r="M72" s="13"/>
      <c r="N72" s="13"/>
      <c r="O72" s="13"/>
      <c r="P72" s="12" t="s">
        <v>307</v>
      </c>
      <c r="Q72" s="13"/>
      <c r="R72" s="12" t="s">
        <v>41</v>
      </c>
      <c r="S72" s="13"/>
      <c r="T72" s="13"/>
      <c r="U72" s="13"/>
      <c r="V72" s="13"/>
      <c r="W72" s="13"/>
      <c r="X72" s="13"/>
      <c r="Y72" s="2"/>
      <c r="Z72" s="2"/>
      <c r="AA72" s="2"/>
      <c r="AB72" s="2"/>
      <c r="AC72" s="2"/>
      <c r="AD72" s="2"/>
      <c r="AE72" s="7"/>
    </row>
    <row r="73" ht="15.75" customHeight="1">
      <c r="A73" s="2">
        <v>72.0</v>
      </c>
      <c r="B73" s="12" t="s">
        <v>305</v>
      </c>
      <c r="C73" s="12" t="s">
        <v>306</v>
      </c>
      <c r="D73" s="12" t="s">
        <v>312</v>
      </c>
      <c r="E73" s="12" t="s">
        <v>313</v>
      </c>
      <c r="F73" s="12" t="s">
        <v>314</v>
      </c>
      <c r="G73" s="12" t="s">
        <v>315</v>
      </c>
      <c r="H73" s="12">
        <v>8.11271322E9</v>
      </c>
      <c r="I73" s="12" t="s">
        <v>60</v>
      </c>
      <c r="J73" s="13"/>
      <c r="K73" s="12" t="s">
        <v>316</v>
      </c>
      <c r="L73" s="4"/>
      <c r="M73" s="13"/>
      <c r="N73" s="13"/>
      <c r="O73" s="13"/>
      <c r="P73" s="12" t="s">
        <v>312</v>
      </c>
      <c r="Q73" s="13"/>
      <c r="R73" s="12" t="s">
        <v>41</v>
      </c>
      <c r="S73" s="13"/>
      <c r="T73" s="13"/>
      <c r="U73" s="13"/>
      <c r="V73" s="13"/>
      <c r="W73" s="13"/>
      <c r="X73" s="13"/>
      <c r="Y73" s="2"/>
      <c r="Z73" s="2"/>
      <c r="AA73" s="2"/>
      <c r="AB73" s="2"/>
      <c r="AC73" s="2"/>
      <c r="AD73" s="2"/>
      <c r="AE73" s="7"/>
    </row>
    <row r="74" ht="15.75" customHeight="1">
      <c r="A74" s="2">
        <v>73.0</v>
      </c>
      <c r="B74" s="12" t="s">
        <v>305</v>
      </c>
      <c r="C74" s="12" t="s">
        <v>306</v>
      </c>
      <c r="D74" s="12" t="s">
        <v>317</v>
      </c>
      <c r="E74" s="12" t="s">
        <v>318</v>
      </c>
      <c r="F74" s="12" t="s">
        <v>319</v>
      </c>
      <c r="G74" s="12" t="s">
        <v>320</v>
      </c>
      <c r="H74" s="12">
        <v>9.830060114E9</v>
      </c>
      <c r="I74" s="12" t="s">
        <v>36</v>
      </c>
      <c r="J74" s="13"/>
      <c r="K74" s="12" t="s">
        <v>321</v>
      </c>
      <c r="L74" s="4"/>
      <c r="M74" s="13"/>
      <c r="N74" s="13"/>
      <c r="O74" s="13"/>
      <c r="P74" s="12" t="s">
        <v>317</v>
      </c>
      <c r="Q74" s="13"/>
      <c r="R74" s="12" t="s">
        <v>41</v>
      </c>
      <c r="S74" s="13"/>
      <c r="T74" s="13"/>
      <c r="U74" s="13"/>
      <c r="V74" s="13"/>
      <c r="W74" s="13"/>
      <c r="X74" s="13"/>
      <c r="Y74" s="2"/>
      <c r="Z74" s="2"/>
      <c r="AA74" s="2"/>
      <c r="AB74" s="2"/>
      <c r="AC74" s="2"/>
      <c r="AD74" s="2"/>
      <c r="AE74" s="7"/>
    </row>
    <row r="75" ht="15.75" customHeight="1">
      <c r="A75" s="2">
        <v>74.0</v>
      </c>
      <c r="B75" s="12" t="s">
        <v>305</v>
      </c>
      <c r="C75" s="12" t="s">
        <v>306</v>
      </c>
      <c r="D75" s="12" t="s">
        <v>41</v>
      </c>
      <c r="E75" s="12" t="s">
        <v>322</v>
      </c>
      <c r="F75" s="12" t="s">
        <v>323</v>
      </c>
      <c r="G75" s="12" t="s">
        <v>324</v>
      </c>
      <c r="H75" s="12">
        <v>9.911164501E9</v>
      </c>
      <c r="I75" s="12" t="s">
        <v>36</v>
      </c>
      <c r="J75" s="13"/>
      <c r="K75" s="12" t="s">
        <v>325</v>
      </c>
      <c r="L75" s="4"/>
      <c r="M75" s="13"/>
      <c r="N75" s="13"/>
      <c r="O75" s="13"/>
      <c r="P75" s="12" t="s">
        <v>41</v>
      </c>
      <c r="Q75" s="13"/>
      <c r="R75" s="12" t="s">
        <v>41</v>
      </c>
      <c r="S75" s="13"/>
      <c r="T75" s="13"/>
      <c r="U75" s="13"/>
      <c r="V75" s="13"/>
      <c r="W75" s="13"/>
      <c r="X75" s="13"/>
      <c r="Y75" s="2"/>
      <c r="Z75" s="2"/>
      <c r="AA75" s="2"/>
      <c r="AB75" s="2"/>
      <c r="AC75" s="2"/>
      <c r="AD75" s="2"/>
      <c r="AE75" s="7"/>
    </row>
    <row r="76" ht="15.75" customHeight="1">
      <c r="A76" s="2">
        <v>75.0</v>
      </c>
      <c r="B76" s="12" t="s">
        <v>305</v>
      </c>
      <c r="C76" s="12" t="s">
        <v>306</v>
      </c>
      <c r="D76" s="12" t="s">
        <v>41</v>
      </c>
      <c r="E76" s="12" t="s">
        <v>326</v>
      </c>
      <c r="F76" s="12" t="s">
        <v>327</v>
      </c>
      <c r="G76" s="12" t="s">
        <v>328</v>
      </c>
      <c r="H76" s="12">
        <v>8.476836666E9</v>
      </c>
      <c r="I76" s="12" t="s">
        <v>60</v>
      </c>
      <c r="J76" s="13"/>
      <c r="K76" s="12" t="s">
        <v>329</v>
      </c>
      <c r="L76" s="4"/>
      <c r="M76" s="13"/>
      <c r="N76" s="13"/>
      <c r="O76" s="13"/>
      <c r="P76" s="12" t="s">
        <v>41</v>
      </c>
      <c r="Q76" s="13"/>
      <c r="R76" s="12" t="s">
        <v>41</v>
      </c>
      <c r="S76" s="13"/>
      <c r="T76" s="13"/>
      <c r="U76" s="13"/>
      <c r="V76" s="13"/>
      <c r="W76" s="13"/>
      <c r="X76" s="13"/>
      <c r="Y76" s="2"/>
      <c r="Z76" s="2"/>
      <c r="AA76" s="2"/>
      <c r="AB76" s="2"/>
      <c r="AC76" s="2"/>
      <c r="AD76" s="2"/>
      <c r="AE76" s="7"/>
    </row>
    <row r="77" ht="15.75" customHeight="1">
      <c r="A77" s="2">
        <v>76.0</v>
      </c>
      <c r="B77" s="12" t="s">
        <v>305</v>
      </c>
      <c r="C77" s="12" t="s">
        <v>306</v>
      </c>
      <c r="D77" s="12" t="s">
        <v>41</v>
      </c>
      <c r="E77" s="12" t="s">
        <v>269</v>
      </c>
      <c r="F77" s="12" t="s">
        <v>330</v>
      </c>
      <c r="G77" s="12" t="s">
        <v>271</v>
      </c>
      <c r="H77" s="12">
        <v>8.800705831E9</v>
      </c>
      <c r="I77" s="12" t="s">
        <v>60</v>
      </c>
      <c r="J77" s="13"/>
      <c r="K77" s="12" t="s">
        <v>331</v>
      </c>
      <c r="L77" s="4"/>
      <c r="M77" s="13"/>
      <c r="N77" s="13"/>
      <c r="O77" s="13"/>
      <c r="P77" s="12" t="s">
        <v>41</v>
      </c>
      <c r="Q77" s="13"/>
      <c r="R77" s="12" t="s">
        <v>41</v>
      </c>
      <c r="S77" s="13"/>
      <c r="T77" s="13"/>
      <c r="U77" s="13"/>
      <c r="V77" s="13"/>
      <c r="W77" s="13"/>
      <c r="X77" s="13"/>
      <c r="Y77" s="2"/>
      <c r="Z77" s="2"/>
      <c r="AA77" s="2"/>
      <c r="AB77" s="2"/>
      <c r="AC77" s="2"/>
      <c r="AD77" s="2"/>
      <c r="AE77" s="7"/>
    </row>
    <row r="78" ht="15.75" customHeight="1">
      <c r="A78" s="2">
        <v>77.0</v>
      </c>
      <c r="B78" s="12" t="s">
        <v>305</v>
      </c>
      <c r="C78" s="12" t="s">
        <v>306</v>
      </c>
      <c r="D78" s="12" t="s">
        <v>332</v>
      </c>
      <c r="E78" s="12" t="s">
        <v>333</v>
      </c>
      <c r="F78" s="12" t="s">
        <v>334</v>
      </c>
      <c r="G78" s="12" t="s">
        <v>335</v>
      </c>
      <c r="H78" s="12">
        <v>7.838115636E9</v>
      </c>
      <c r="I78" s="12" t="s">
        <v>36</v>
      </c>
      <c r="J78" s="13"/>
      <c r="K78" s="12" t="s">
        <v>336</v>
      </c>
      <c r="L78" s="4"/>
      <c r="M78" s="13"/>
      <c r="N78" s="13"/>
      <c r="O78" s="13"/>
      <c r="P78" s="12" t="s">
        <v>332</v>
      </c>
      <c r="Q78" s="13"/>
      <c r="R78" s="12" t="s">
        <v>41</v>
      </c>
      <c r="S78" s="13"/>
      <c r="T78" s="13"/>
      <c r="U78" s="13"/>
      <c r="V78" s="13"/>
      <c r="W78" s="13"/>
      <c r="X78" s="13"/>
      <c r="Y78" s="2"/>
      <c r="Z78" s="2"/>
      <c r="AA78" s="2"/>
      <c r="AB78" s="2"/>
      <c r="AC78" s="2"/>
      <c r="AD78" s="2"/>
      <c r="AE78" s="7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